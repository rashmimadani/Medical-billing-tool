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1fdb30705a03303/Desktop/CellOptimal/Creations/"/>
    </mc:Choice>
  </mc:AlternateContent>
  <xr:revisionPtr revIDLastSave="1699" documentId="13_ncr:1_{A172C5E7-8471-4A11-8B07-A5465EC35470}" xr6:coauthVersionLast="47" xr6:coauthVersionMax="47" xr10:uidLastSave="{2D8A60FF-B4A6-4606-A7FD-D2A69EA2F850}"/>
  <bookViews>
    <workbookView xWindow="-110" yWindow="-110" windowWidth="19420" windowHeight="12220" xr2:uid="{00000000-000D-0000-FFFF-FFFF00000000}"/>
  </bookViews>
  <sheets>
    <sheet name="Payments" sheetId="1" r:id="rId1"/>
  </sheets>
  <definedNames>
    <definedName name="_xlnm._FilterDatabase" localSheetId="0" hidden="1">Payments!$A$1:$K$126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  <c r="J90" i="1"/>
  <c r="J92" i="1"/>
  <c r="J91" i="1"/>
  <c r="J89" i="1"/>
  <c r="J88" i="1"/>
  <c r="J87" i="1"/>
  <c r="J86" i="1"/>
  <c r="J85" i="1"/>
  <c r="J57" i="1" l="1"/>
  <c r="J60" i="1" l="1"/>
  <c r="J53" i="1"/>
  <c r="J52" i="1" l="1"/>
  <c r="J51" i="1"/>
  <c r="J50" i="1"/>
  <c r="J49" i="1"/>
  <c r="J48" i="1" l="1"/>
  <c r="J47" i="1" l="1"/>
  <c r="J46" i="1" l="1"/>
  <c r="J45" i="1" l="1"/>
  <c r="D16" i="1"/>
  <c r="D11" i="1" l="1"/>
  <c r="J2" i="1"/>
  <c r="J11" i="1"/>
  <c r="D10" i="1"/>
  <c r="D9" i="1"/>
  <c r="D8" i="1"/>
  <c r="D7" i="1"/>
  <c r="D6" i="1"/>
  <c r="D4" i="1"/>
  <c r="D3" i="1"/>
  <c r="D2" i="1"/>
  <c r="D5" i="1"/>
  <c r="J8" i="1"/>
  <c r="J3" i="1"/>
  <c r="J5" i="1"/>
  <c r="J84" i="1"/>
  <c r="J83" i="1"/>
  <c r="J82" i="1"/>
  <c r="J81" i="1"/>
  <c r="J63" i="1"/>
  <c r="J78" i="1"/>
  <c r="J77" i="1"/>
  <c r="J56" i="1"/>
  <c r="J55" i="1"/>
  <c r="J54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14" i="1"/>
  <c r="J13" i="1"/>
  <c r="J12" i="1"/>
  <c r="J10" i="1"/>
  <c r="J9" i="1"/>
  <c r="J7" i="1"/>
  <c r="J6" i="1"/>
  <c r="J4" i="1"/>
  <c r="A2" i="1"/>
  <c r="A3" i="1" s="1"/>
  <c r="A4" i="1" s="1"/>
  <c r="A5" i="1" s="1"/>
  <c r="A6" i="1" s="1"/>
  <c r="A7" i="1" s="1"/>
  <c r="A8" i="1" s="1"/>
  <c r="A10" i="1" s="1"/>
  <c r="A11" i="1" s="1"/>
  <c r="A12" i="1" s="1"/>
  <c r="A13" i="1" s="1"/>
  <c r="A14" i="1" s="1"/>
  <c r="A15" i="1" s="1"/>
  <c r="A16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l="1"/>
  <c r="A89" i="1" s="1"/>
  <c r="A92" i="1" s="1"/>
  <c r="A95" i="1" s="1"/>
  <c r="A96" i="1" s="1"/>
  <c r="A82" i="1" s="1"/>
  <c r="A83" i="1" s="1"/>
  <c r="A84" i="1" s="1"/>
  <c r="A85" i="1" s="1"/>
  <c r="A86" i="1" s="1"/>
  <c r="A87" i="1" s="1"/>
  <c r="A98" i="1" l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21" i="1" s="1"/>
  <c r="A122" i="1" s="1"/>
  <c r="A123" i="1" s="1"/>
  <c r="A124" i="1" s="1"/>
  <c r="A125" i="1" s="1"/>
  <c r="A126" i="1" s="1"/>
</calcChain>
</file>

<file path=xl/sharedStrings.xml><?xml version="1.0" encoding="utf-8"?>
<sst xmlns="http://schemas.openxmlformats.org/spreadsheetml/2006/main" count="1186" uniqueCount="213">
  <si>
    <t>Entry ID</t>
  </si>
  <si>
    <t>Client Name</t>
  </si>
  <si>
    <t>Billing Type</t>
  </si>
  <si>
    <t>Months</t>
  </si>
  <si>
    <t>Paid On</t>
  </si>
  <si>
    <t>Amount (INR)</t>
  </si>
  <si>
    <t>Payment Method</t>
  </si>
  <si>
    <t>Next Due Date</t>
  </si>
  <si>
    <t>Status</t>
  </si>
  <si>
    <t>Program</t>
  </si>
  <si>
    <t>Prepaid</t>
  </si>
  <si>
    <t>Bank</t>
  </si>
  <si>
    <t>Active</t>
  </si>
  <si>
    <t>Mili Gandhi</t>
  </si>
  <si>
    <t>Anurag Das</t>
  </si>
  <si>
    <t>Monthly</t>
  </si>
  <si>
    <t>Invoice #</t>
  </si>
  <si>
    <t>2526NK007</t>
  </si>
  <si>
    <t>2526NK005</t>
  </si>
  <si>
    <t>2526NK006</t>
  </si>
  <si>
    <t>Sonia Vora</t>
  </si>
  <si>
    <t>2526NK008</t>
  </si>
  <si>
    <t>Consultation</t>
  </si>
  <si>
    <t>Divyansh Singh</t>
  </si>
  <si>
    <t>2526NK010</t>
  </si>
  <si>
    <t>Gautam Nambisan</t>
  </si>
  <si>
    <t>Cash</t>
  </si>
  <si>
    <t>Completed</t>
  </si>
  <si>
    <t>Sahithi Macharla</t>
  </si>
  <si>
    <t xml:space="preserve">Nikil Kumar </t>
  </si>
  <si>
    <t>Amrit Pathak</t>
  </si>
  <si>
    <t>Program/Consultation</t>
  </si>
  <si>
    <t xml:space="preserve">Prepaid / Monthly / N.A. </t>
  </si>
  <si>
    <t>N.A.</t>
  </si>
  <si>
    <t>2526NK11</t>
  </si>
  <si>
    <t>2526NK12</t>
  </si>
  <si>
    <t>2526NK13</t>
  </si>
  <si>
    <t>2526NK14</t>
  </si>
  <si>
    <t>Rajini S</t>
  </si>
  <si>
    <t>2526NK15</t>
  </si>
  <si>
    <t>Paid for 3 months</t>
  </si>
  <si>
    <t>Sridhari Hulgur</t>
  </si>
  <si>
    <t>One-time</t>
  </si>
  <si>
    <t>NA</t>
  </si>
  <si>
    <t>2526NK16</t>
  </si>
  <si>
    <t>2526NK17</t>
  </si>
  <si>
    <t>Ajit Alexander</t>
  </si>
  <si>
    <t>Harish G</t>
  </si>
  <si>
    <t xml:space="preserve">Sabina </t>
  </si>
  <si>
    <t>Fareesa</t>
  </si>
  <si>
    <t>2526NK20</t>
  </si>
  <si>
    <t>Paid</t>
  </si>
  <si>
    <t>2526NK21</t>
  </si>
  <si>
    <t>2526NK22</t>
  </si>
  <si>
    <t>2526NK23</t>
  </si>
  <si>
    <t>2526NK24</t>
  </si>
  <si>
    <t>2526NK25</t>
  </si>
  <si>
    <t>2526NK26</t>
  </si>
  <si>
    <t>Meera</t>
  </si>
  <si>
    <t>Yash</t>
  </si>
  <si>
    <t>Anil Reddy</t>
  </si>
  <si>
    <t>Abhinay</t>
  </si>
  <si>
    <t>Rohan Ipe</t>
  </si>
  <si>
    <t>Manya</t>
  </si>
  <si>
    <t>2526NK27</t>
  </si>
  <si>
    <t>2526NK28</t>
  </si>
  <si>
    <t>2526NK29</t>
  </si>
  <si>
    <t>2526NK30</t>
  </si>
  <si>
    <t>2526NK31</t>
  </si>
  <si>
    <t>Lakshmesh Prabhu</t>
  </si>
  <si>
    <t>2526NK32</t>
  </si>
  <si>
    <t>2526NK33</t>
  </si>
  <si>
    <t>2526NK34</t>
  </si>
  <si>
    <t>2526NK35</t>
  </si>
  <si>
    <t>2526NK36</t>
  </si>
  <si>
    <t>Siva Prasad</t>
  </si>
  <si>
    <t>2526NK37</t>
  </si>
  <si>
    <t>Made</t>
  </si>
  <si>
    <t>2526NK38</t>
  </si>
  <si>
    <t>2526NK39</t>
  </si>
  <si>
    <t>Abhinay Reddy</t>
  </si>
  <si>
    <t>PM</t>
  </si>
  <si>
    <t>Ravi</t>
  </si>
  <si>
    <t>May</t>
  </si>
  <si>
    <t>2526NK40</t>
  </si>
  <si>
    <t>Punit</t>
  </si>
  <si>
    <t>2526NK41</t>
  </si>
  <si>
    <t>Rashmi TK</t>
  </si>
  <si>
    <t>2526NK42</t>
  </si>
  <si>
    <t>Pratham</t>
  </si>
  <si>
    <t>2526NK43</t>
  </si>
  <si>
    <t>George</t>
  </si>
  <si>
    <t>2526NK44</t>
  </si>
  <si>
    <t>Sent</t>
  </si>
  <si>
    <t>June</t>
  </si>
  <si>
    <t>2526NK45</t>
  </si>
  <si>
    <t>2526NK46</t>
  </si>
  <si>
    <t>2526NK47</t>
  </si>
  <si>
    <t>2526NK48</t>
  </si>
  <si>
    <t>2526NK49</t>
  </si>
  <si>
    <t>2526NK50</t>
  </si>
  <si>
    <t>2526NK51</t>
  </si>
  <si>
    <t>Sounder Rajan</t>
  </si>
  <si>
    <t>2526NK52</t>
  </si>
  <si>
    <t>Aman Priyadarshi</t>
  </si>
  <si>
    <t>2526NK53</t>
  </si>
  <si>
    <t>2526NK54</t>
  </si>
  <si>
    <t>OM</t>
  </si>
  <si>
    <t>Simran Chatha</t>
  </si>
  <si>
    <t>July</t>
  </si>
  <si>
    <t>2526NK55</t>
  </si>
  <si>
    <t>Smita parkar</t>
  </si>
  <si>
    <t>Punith</t>
  </si>
  <si>
    <t>Naresh</t>
  </si>
  <si>
    <t>Arun</t>
  </si>
  <si>
    <t>Suhas</t>
  </si>
  <si>
    <t>2526NK56</t>
  </si>
  <si>
    <t>Meera Sabu</t>
  </si>
  <si>
    <t>2526NK57</t>
  </si>
  <si>
    <t>August</t>
  </si>
  <si>
    <t>2526NK58</t>
  </si>
  <si>
    <t>Aysha Begum</t>
  </si>
  <si>
    <t>2526NK59</t>
  </si>
  <si>
    <t>2526NK60</t>
  </si>
  <si>
    <t>September</t>
  </si>
  <si>
    <t>2526NK61</t>
  </si>
  <si>
    <t>2526NK62</t>
  </si>
  <si>
    <t>Rashmi TK &amp; Rohan</t>
  </si>
  <si>
    <t>Hemangini</t>
  </si>
  <si>
    <t>Did not raise</t>
  </si>
  <si>
    <t>2526NK63</t>
  </si>
  <si>
    <t>Haryshwa</t>
  </si>
  <si>
    <t>2526NK64</t>
  </si>
  <si>
    <t>2526NK65</t>
  </si>
  <si>
    <t>2526NK66</t>
  </si>
  <si>
    <t>2526NK67</t>
  </si>
  <si>
    <t>2526NK68</t>
  </si>
  <si>
    <t>2526NK69</t>
  </si>
  <si>
    <t>2526NK70</t>
  </si>
  <si>
    <t>2526NK71</t>
  </si>
  <si>
    <t>Gautham</t>
  </si>
  <si>
    <t xml:space="preserve">George </t>
  </si>
  <si>
    <t>2526NK72</t>
  </si>
  <si>
    <t>Vinod/shilpa</t>
  </si>
  <si>
    <t>2526NK73</t>
  </si>
  <si>
    <t>2526NK74</t>
  </si>
  <si>
    <t>2526NK75</t>
  </si>
  <si>
    <t>2526NK76</t>
  </si>
  <si>
    <t>Paid to AXIS Bank</t>
  </si>
  <si>
    <t>2526NK77</t>
  </si>
  <si>
    <t>2526NK78</t>
  </si>
  <si>
    <t>Sahana Dwarkanath</t>
  </si>
  <si>
    <t>Raju Mancharla</t>
  </si>
  <si>
    <t>Anand Subramani</t>
  </si>
  <si>
    <t>Rajeev Soni</t>
  </si>
  <si>
    <t>Janani P</t>
  </si>
  <si>
    <t>2526NK79</t>
  </si>
  <si>
    <t>Rashmi T K</t>
  </si>
  <si>
    <t xml:space="preserve">Rathnakara Shetty </t>
  </si>
  <si>
    <t>2526NK80</t>
  </si>
  <si>
    <t>2526NK81</t>
  </si>
  <si>
    <t>2526NK82</t>
  </si>
  <si>
    <t>2526NK83</t>
  </si>
  <si>
    <t>2526NK84</t>
  </si>
  <si>
    <t>2526NK85</t>
  </si>
  <si>
    <t>2526NK86</t>
  </si>
  <si>
    <t xml:space="preserve">Punith </t>
  </si>
  <si>
    <t>2526NK87</t>
  </si>
  <si>
    <t>2526NK88</t>
  </si>
  <si>
    <t>Shanta</t>
  </si>
  <si>
    <t>Sunitha</t>
  </si>
  <si>
    <t>2526NK89</t>
  </si>
  <si>
    <t>2526NK90</t>
  </si>
  <si>
    <t>Shilpa</t>
  </si>
  <si>
    <t>2526NK91</t>
  </si>
  <si>
    <t>Aditya Prakash</t>
  </si>
  <si>
    <t>2627NK92</t>
  </si>
  <si>
    <t xml:space="preserve">Rashmi </t>
  </si>
  <si>
    <t>2627NK93</t>
  </si>
  <si>
    <t xml:space="preserve">Anu Jhamb </t>
  </si>
  <si>
    <t>2627NK94</t>
  </si>
  <si>
    <t>2627NK95</t>
  </si>
  <si>
    <t>2627NK96</t>
  </si>
  <si>
    <t>Bhanu Mancharla</t>
  </si>
  <si>
    <t>Mridula Nair</t>
  </si>
  <si>
    <t>2627NK97</t>
  </si>
  <si>
    <t>2627NK98</t>
  </si>
  <si>
    <t xml:space="preserve">Ravi </t>
  </si>
  <si>
    <t xml:space="preserve">Rishi Dogra </t>
  </si>
  <si>
    <t>2627NK99</t>
  </si>
  <si>
    <t>2627NL01</t>
  </si>
  <si>
    <t>2627NL02</t>
  </si>
  <si>
    <t>2627NL03</t>
  </si>
  <si>
    <t>2627NL04</t>
  </si>
  <si>
    <t>2627NL05</t>
  </si>
  <si>
    <t>2627NL06</t>
  </si>
  <si>
    <t>2627NL07</t>
  </si>
  <si>
    <t>Ashima Shetty Dcosta</t>
  </si>
  <si>
    <t>2627NL08</t>
  </si>
  <si>
    <t>2627NL09</t>
  </si>
  <si>
    <t>October</t>
  </si>
  <si>
    <t>Jan</t>
  </si>
  <si>
    <t>2727NL13</t>
  </si>
  <si>
    <t>Sabina Reddy</t>
  </si>
  <si>
    <t>Paying for July/August</t>
  </si>
  <si>
    <t>2627NL10</t>
  </si>
  <si>
    <t>2627NL11</t>
  </si>
  <si>
    <t>2627NL12</t>
  </si>
  <si>
    <t>2627NL13</t>
  </si>
  <si>
    <t>2627NL14</t>
  </si>
  <si>
    <t>Paying for May-November</t>
  </si>
  <si>
    <t>2627NL15</t>
  </si>
  <si>
    <t>2627NL16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</si>
</sst>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8"/>
  <sheetViews>
    <sheetView tabSelected="1" zoomScaleNormal="100" workbookViewId="0">
      <pane xSplit="2" ySplit="1" topLeftCell="E99" activePane="bottomRight" state="frozen"/>
      <selection pane="topRight" activeCell="C1" sqref="C1"/>
      <selection pane="bottomLeft" activeCell="A2" sqref="A2"/>
      <selection pane="bottomRight" activeCell="I117" sqref="I117"/>
    </sheetView>
  </sheetViews>
  <sheetFormatPr defaultRowHeight="14.5" x14ac:dyDescent="0.35"/>
  <cols>
    <col min="1" max="1" width="10" customWidth="1"/>
    <col min="2" max="2" width="22" customWidth="1"/>
    <col min="3" max="4" width="24" customWidth="1"/>
    <col min="5" max="5" width="26.453125" bestFit="1" customWidth="1"/>
    <col min="6" max="6" width="10" customWidth="1"/>
    <col min="7" max="7" width="18" customWidth="1"/>
    <col min="8" max="8" width="14" customWidth="1"/>
    <col min="9" max="9" width="16" customWidth="1"/>
    <col min="10" max="10" width="18" customWidth="1"/>
    <col min="11" max="11" width="20" customWidth="1"/>
    <col min="12" max="12" width="11.453125" customWidth="1"/>
    <col min="13" max="13" width="15.6328125" bestFit="1" customWidth="1"/>
    <col min="15" max="15" width="22.81640625" bestFit="1" customWidth="1"/>
  </cols>
  <sheetData>
    <row r="1" spans="1:13" x14ac:dyDescent="0.35">
      <c r="A1" s="1" t="s">
        <v>0</v>
      </c>
      <c r="B1" t="s">
        <v>1</v>
      </c>
      <c r="C1" t="s">
        <v>31</v>
      </c>
      <c r="D1" s="1" t="s">
        <v>2</v>
      </c>
      <c r="E1" s="1" t="s">
        <v>32</v>
      </c>
      <c r="F1" s="1" t="s">
        <v>3</v>
      </c>
      <c r="G1" t="s">
        <v>4</v>
      </c>
      <c r="H1" s="1" t="s">
        <v>5</v>
      </c>
      <c r="I1" t="s">
        <v>6</v>
      </c>
      <c r="J1" t="s">
        <v>7</v>
      </c>
      <c r="K1" s="1" t="s">
        <v>8</v>
      </c>
      <c r="L1" t="s">
        <v>16</v>
      </c>
    </row>
    <row r="2" spans="1:13" x14ac:dyDescent="0.35">
      <c r="A2" s="1">
        <f t="shared" ref="A2" si="0">ROW()-1</f>
        <v>1</v>
      </c>
      <c r="B2" t="s">
        <v>13</v>
      </c>
      <c r="C2" t="s">
        <v>9</v>
      </c>
      <c r="D2" s="1" t="str">
        <f t="shared" ref="D2:D4" si="1">IF(C2="Consultation","One-time","Monthly")</f>
        <v>Monthly</v>
      </c>
      <c r="E2" s="1" t="s">
        <v>10</v>
      </c>
      <c r="F2" s="3">
        <v>3</v>
      </c>
      <c r="G2" s="2">
        <v>45945</v>
      </c>
      <c r="H2" s="1">
        <v>22500</v>
      </c>
      <c r="I2" t="s">
        <v>11</v>
      </c>
      <c r="J2" s="2">
        <f t="shared" ref="J2:J5" si="2">IF(E2="One-time","",IF(G2="", "",IF(E2="Monthly", EDATE(G2,1), IF(E2="Prepaid", IF(F2="", "", EDATE(G2, F2)), ""))))</f>
        <v>46037</v>
      </c>
      <c r="K2" s="1" t="s">
        <v>12</v>
      </c>
      <c r="L2" t="s">
        <v>18</v>
      </c>
    </row>
    <row r="3" spans="1:13" x14ac:dyDescent="0.35">
      <c r="A3" s="1">
        <f>A2+1</f>
        <v>2</v>
      </c>
      <c r="B3" t="s">
        <v>14</v>
      </c>
      <c r="C3" t="s">
        <v>9</v>
      </c>
      <c r="D3" s="1" t="str">
        <f t="shared" si="1"/>
        <v>Monthly</v>
      </c>
      <c r="E3" s="1" t="s">
        <v>15</v>
      </c>
      <c r="F3" s="3"/>
      <c r="G3" s="2">
        <v>45946</v>
      </c>
      <c r="H3" s="1">
        <v>7500</v>
      </c>
      <c r="I3" t="s">
        <v>11</v>
      </c>
      <c r="J3" s="2">
        <f t="shared" si="2"/>
        <v>45977</v>
      </c>
      <c r="K3" s="1" t="s">
        <v>12</v>
      </c>
      <c r="L3" t="s">
        <v>19</v>
      </c>
    </row>
    <row r="4" spans="1:13" x14ac:dyDescent="0.35">
      <c r="A4" s="1">
        <f t="shared" ref="A4:A55" si="3">A3+1</f>
        <v>3</v>
      </c>
      <c r="B4" t="s">
        <v>20</v>
      </c>
      <c r="C4" t="s">
        <v>9</v>
      </c>
      <c r="D4" s="1" t="str">
        <f t="shared" si="1"/>
        <v>Monthly</v>
      </c>
      <c r="E4" s="1" t="s">
        <v>10</v>
      </c>
      <c r="F4" s="3">
        <v>2</v>
      </c>
      <c r="G4" s="2">
        <v>45945</v>
      </c>
      <c r="H4" s="1">
        <v>40000</v>
      </c>
      <c r="I4" t="s">
        <v>11</v>
      </c>
      <c r="J4" s="2">
        <f t="shared" si="2"/>
        <v>46006</v>
      </c>
      <c r="K4" s="1" t="s">
        <v>12</v>
      </c>
      <c r="L4" t="s">
        <v>17</v>
      </c>
    </row>
    <row r="5" spans="1:13" x14ac:dyDescent="0.35">
      <c r="A5" s="1">
        <f t="shared" si="3"/>
        <v>4</v>
      </c>
      <c r="B5" t="s">
        <v>23</v>
      </c>
      <c r="C5" t="s">
        <v>22</v>
      </c>
      <c r="D5" s="1" t="str">
        <f>IF(C5="Consultation","One-time","Monthly")</f>
        <v>One-time</v>
      </c>
      <c r="E5" s="1" t="s">
        <v>33</v>
      </c>
      <c r="F5" s="3"/>
      <c r="G5" s="2">
        <v>45980</v>
      </c>
      <c r="H5" s="1">
        <v>2500</v>
      </c>
      <c r="I5" t="s">
        <v>11</v>
      </c>
      <c r="J5" s="2" t="str">
        <f t="shared" si="2"/>
        <v/>
      </c>
      <c r="K5" s="1" t="s">
        <v>12</v>
      </c>
      <c r="L5" t="s">
        <v>21</v>
      </c>
    </row>
    <row r="6" spans="1:13" x14ac:dyDescent="0.35">
      <c r="A6" s="1">
        <f t="shared" si="3"/>
        <v>5</v>
      </c>
      <c r="B6" t="s">
        <v>14</v>
      </c>
      <c r="C6" t="s">
        <v>9</v>
      </c>
      <c r="D6" s="1" t="str">
        <f t="shared" ref="D6:D11" si="4">IF(C6="Consultation","One-time","Monthly")</f>
        <v>Monthly</v>
      </c>
      <c r="E6" s="1" t="s">
        <v>15</v>
      </c>
      <c r="F6" s="3"/>
      <c r="G6" s="2">
        <v>45978</v>
      </c>
      <c r="H6" s="1">
        <v>7500</v>
      </c>
      <c r="I6" t="s">
        <v>11</v>
      </c>
      <c r="J6" s="2">
        <f t="shared" ref="J6:J60" si="5">IF(E6="One-time","",IF(G6="", "",IF(E6="Monthly", EDATE(G6,1), IF(E6="Prepaid", IF(F6="", "", EDATE(G6, F6)), ""))))</f>
        <v>46008</v>
      </c>
      <c r="K6" s="1" t="s">
        <v>12</v>
      </c>
      <c r="L6" t="s">
        <v>24</v>
      </c>
    </row>
    <row r="7" spans="1:13" x14ac:dyDescent="0.35">
      <c r="A7" s="1">
        <f t="shared" si="3"/>
        <v>6</v>
      </c>
      <c r="B7" t="s">
        <v>25</v>
      </c>
      <c r="C7" t="s">
        <v>22</v>
      </c>
      <c r="D7" s="1" t="str">
        <f t="shared" si="4"/>
        <v>One-time</v>
      </c>
      <c r="E7" s="1" t="s">
        <v>33</v>
      </c>
      <c r="F7" s="3"/>
      <c r="G7" s="2">
        <v>46006</v>
      </c>
      <c r="H7" s="1">
        <v>10000</v>
      </c>
      <c r="I7" t="s">
        <v>26</v>
      </c>
      <c r="J7" s="2" t="str">
        <f t="shared" si="5"/>
        <v/>
      </c>
      <c r="K7" s="1" t="s">
        <v>27</v>
      </c>
    </row>
    <row r="8" spans="1:13" x14ac:dyDescent="0.35">
      <c r="A8" s="1">
        <f t="shared" si="3"/>
        <v>7</v>
      </c>
      <c r="B8" t="s">
        <v>25</v>
      </c>
      <c r="C8" t="s">
        <v>9</v>
      </c>
      <c r="D8" s="1" t="str">
        <f t="shared" si="4"/>
        <v>Monthly</v>
      </c>
      <c r="E8" s="1" t="s">
        <v>15</v>
      </c>
      <c r="F8" s="3">
        <v>1</v>
      </c>
      <c r="G8" s="2">
        <v>46027</v>
      </c>
      <c r="H8" s="1">
        <v>10000</v>
      </c>
      <c r="I8" t="s">
        <v>26</v>
      </c>
      <c r="J8" s="2">
        <f t="shared" si="5"/>
        <v>46058</v>
      </c>
      <c r="K8" s="1" t="s">
        <v>12</v>
      </c>
    </row>
    <row r="9" spans="1:13" x14ac:dyDescent="0.35">
      <c r="A9" s="1">
        <v>8</v>
      </c>
      <c r="B9" t="s">
        <v>29</v>
      </c>
      <c r="C9" t="s">
        <v>22</v>
      </c>
      <c r="D9" s="1" t="str">
        <f t="shared" si="4"/>
        <v>One-time</v>
      </c>
      <c r="E9" s="1" t="s">
        <v>33</v>
      </c>
      <c r="F9" s="3"/>
      <c r="G9" s="2"/>
      <c r="H9" s="1">
        <v>5000</v>
      </c>
      <c r="J9" s="2" t="str">
        <f t="shared" si="5"/>
        <v/>
      </c>
      <c r="K9" s="1"/>
    </row>
    <row r="10" spans="1:13" x14ac:dyDescent="0.35">
      <c r="A10" s="1">
        <f t="shared" si="3"/>
        <v>9</v>
      </c>
      <c r="B10" t="s">
        <v>30</v>
      </c>
      <c r="C10" t="s">
        <v>9</v>
      </c>
      <c r="D10" s="1" t="str">
        <f t="shared" si="4"/>
        <v>Monthly</v>
      </c>
      <c r="E10" s="1" t="s">
        <v>15</v>
      </c>
      <c r="F10" s="3">
        <v>1</v>
      </c>
      <c r="G10" s="2">
        <v>46030</v>
      </c>
      <c r="H10" s="1"/>
      <c r="J10" s="2">
        <f t="shared" si="5"/>
        <v>46061</v>
      </c>
      <c r="K10" s="1"/>
      <c r="L10" t="s">
        <v>34</v>
      </c>
    </row>
    <row r="11" spans="1:13" x14ac:dyDescent="0.35">
      <c r="A11" s="1">
        <f t="shared" si="3"/>
        <v>10</v>
      </c>
      <c r="B11" t="s">
        <v>20</v>
      </c>
      <c r="C11" t="s">
        <v>9</v>
      </c>
      <c r="D11" s="1" t="str">
        <f t="shared" si="4"/>
        <v>Monthly</v>
      </c>
      <c r="E11" s="1" t="s">
        <v>10</v>
      </c>
      <c r="F11" s="3">
        <v>2</v>
      </c>
      <c r="G11" s="2">
        <v>46371</v>
      </c>
      <c r="H11" s="4">
        <v>40000</v>
      </c>
      <c r="J11" s="2">
        <f t="shared" si="5"/>
        <v>46433</v>
      </c>
      <c r="K11" s="1"/>
      <c r="L11" t="s">
        <v>35</v>
      </c>
    </row>
    <row r="12" spans="1:13" x14ac:dyDescent="0.35">
      <c r="A12" s="1">
        <f t="shared" si="3"/>
        <v>11</v>
      </c>
      <c r="B12" t="s">
        <v>14</v>
      </c>
      <c r="C12" t="s">
        <v>9</v>
      </c>
      <c r="D12" s="1" t="s">
        <v>15</v>
      </c>
      <c r="E12" s="1" t="s">
        <v>10</v>
      </c>
      <c r="F12" s="3">
        <v>1</v>
      </c>
      <c r="G12" s="2">
        <v>46036</v>
      </c>
      <c r="H12" s="1">
        <v>7500</v>
      </c>
      <c r="I12" t="s">
        <v>11</v>
      </c>
      <c r="J12" s="2">
        <f t="shared" si="5"/>
        <v>46067</v>
      </c>
      <c r="K12" s="1" t="s">
        <v>27</v>
      </c>
      <c r="L12" t="s">
        <v>36</v>
      </c>
    </row>
    <row r="13" spans="1:13" x14ac:dyDescent="0.35">
      <c r="A13" s="1">
        <f t="shared" si="3"/>
        <v>12</v>
      </c>
      <c r="B13" t="s">
        <v>13</v>
      </c>
      <c r="C13" t="s">
        <v>9</v>
      </c>
      <c r="D13" s="1" t="s">
        <v>15</v>
      </c>
      <c r="E13" s="1" t="s">
        <v>10</v>
      </c>
      <c r="F13" s="3">
        <v>3</v>
      </c>
      <c r="G13" s="2">
        <v>46036</v>
      </c>
      <c r="H13" s="1">
        <v>22500</v>
      </c>
      <c r="I13" s="5" t="s">
        <v>11</v>
      </c>
      <c r="J13" s="2">
        <f t="shared" si="5"/>
        <v>46126</v>
      </c>
      <c r="K13" s="1"/>
      <c r="L13" t="s">
        <v>37</v>
      </c>
    </row>
    <row r="14" spans="1:13" x14ac:dyDescent="0.35">
      <c r="A14" s="1">
        <f t="shared" si="3"/>
        <v>13</v>
      </c>
      <c r="B14" t="s">
        <v>38</v>
      </c>
      <c r="C14" t="s">
        <v>9</v>
      </c>
      <c r="D14" s="1" t="s">
        <v>15</v>
      </c>
      <c r="E14" s="1" t="s">
        <v>10</v>
      </c>
      <c r="F14" s="3">
        <v>3</v>
      </c>
      <c r="G14" s="2">
        <v>46036</v>
      </c>
      <c r="H14" s="1">
        <v>67500</v>
      </c>
      <c r="I14" t="s">
        <v>11</v>
      </c>
      <c r="J14" s="2">
        <f t="shared" si="5"/>
        <v>46126</v>
      </c>
      <c r="K14" s="1"/>
      <c r="L14" t="s">
        <v>39</v>
      </c>
      <c r="M14" t="s">
        <v>40</v>
      </c>
    </row>
    <row r="15" spans="1:13" x14ac:dyDescent="0.35">
      <c r="A15" s="1">
        <f t="shared" si="3"/>
        <v>14</v>
      </c>
      <c r="B15" t="s">
        <v>41</v>
      </c>
      <c r="C15" t="s">
        <v>22</v>
      </c>
      <c r="D15" s="1" t="s">
        <v>42</v>
      </c>
      <c r="E15" s="1" t="s">
        <v>33</v>
      </c>
      <c r="F15" s="3" t="s">
        <v>33</v>
      </c>
      <c r="G15" s="2">
        <v>46049</v>
      </c>
      <c r="H15" s="1">
        <v>10000</v>
      </c>
      <c r="I15" s="5" t="s">
        <v>11</v>
      </c>
      <c r="J15" s="2" t="s">
        <v>43</v>
      </c>
      <c r="K15" s="1" t="s">
        <v>12</v>
      </c>
      <c r="L15" t="s">
        <v>44</v>
      </c>
      <c r="M15" s="1"/>
    </row>
    <row r="16" spans="1:13" x14ac:dyDescent="0.35">
      <c r="A16" s="1">
        <f t="shared" si="3"/>
        <v>15</v>
      </c>
      <c r="B16" t="s">
        <v>28</v>
      </c>
      <c r="C16" t="s">
        <v>22</v>
      </c>
      <c r="D16" s="1" t="str">
        <f t="shared" ref="D16" si="6">IF(C16="Consultation","One-time","Monthly")</f>
        <v>One-time</v>
      </c>
      <c r="E16" s="1" t="s">
        <v>33</v>
      </c>
      <c r="F16" s="3" t="s">
        <v>33</v>
      </c>
      <c r="G16" s="2"/>
      <c r="H16" s="1">
        <v>10000</v>
      </c>
      <c r="I16" t="s">
        <v>11</v>
      </c>
      <c r="J16" s="2" t="s">
        <v>43</v>
      </c>
      <c r="K16" s="1" t="s">
        <v>27</v>
      </c>
      <c r="L16" t="s">
        <v>45</v>
      </c>
    </row>
    <row r="17" spans="1:13" x14ac:dyDescent="0.35">
      <c r="A17" s="1">
        <v>21</v>
      </c>
      <c r="B17" t="s">
        <v>49</v>
      </c>
      <c r="C17" t="s">
        <v>22</v>
      </c>
      <c r="D17" s="1" t="s">
        <v>42</v>
      </c>
      <c r="E17" s="1" t="s">
        <v>33</v>
      </c>
      <c r="F17" s="3" t="s">
        <v>33</v>
      </c>
      <c r="G17" s="2"/>
      <c r="H17" s="1">
        <v>10000</v>
      </c>
      <c r="I17" s="5" t="s">
        <v>11</v>
      </c>
      <c r="J17" s="2" t="s">
        <v>43</v>
      </c>
      <c r="K17" s="1" t="s">
        <v>27</v>
      </c>
      <c r="L17" t="s">
        <v>50</v>
      </c>
      <c r="M17" t="s">
        <v>51</v>
      </c>
    </row>
    <row r="18" spans="1:13" x14ac:dyDescent="0.35">
      <c r="A18" s="1">
        <v>22</v>
      </c>
      <c r="B18" t="s">
        <v>46</v>
      </c>
      <c r="C18" t="s">
        <v>22</v>
      </c>
      <c r="D18" s="1" t="s">
        <v>42</v>
      </c>
      <c r="E18" s="1" t="s">
        <v>33</v>
      </c>
      <c r="F18" s="3" t="s">
        <v>33</v>
      </c>
      <c r="G18" s="2"/>
      <c r="H18" s="1">
        <v>10000</v>
      </c>
      <c r="I18" s="5" t="s">
        <v>11</v>
      </c>
      <c r="J18" s="2" t="s">
        <v>43</v>
      </c>
      <c r="K18" s="1" t="s">
        <v>27</v>
      </c>
      <c r="L18" t="s">
        <v>52</v>
      </c>
      <c r="M18" t="s">
        <v>51</v>
      </c>
    </row>
    <row r="19" spans="1:13" x14ac:dyDescent="0.35">
      <c r="A19" s="1">
        <f t="shared" si="3"/>
        <v>23</v>
      </c>
      <c r="B19" t="s">
        <v>48</v>
      </c>
      <c r="C19" t="s">
        <v>22</v>
      </c>
      <c r="D19" s="1" t="s">
        <v>42</v>
      </c>
      <c r="E19" s="1" t="s">
        <v>33</v>
      </c>
      <c r="F19" s="3" t="s">
        <v>33</v>
      </c>
      <c r="G19" s="2"/>
      <c r="H19" s="1">
        <v>10000</v>
      </c>
      <c r="I19" s="5" t="s">
        <v>11</v>
      </c>
      <c r="J19" s="2" t="s">
        <v>43</v>
      </c>
      <c r="K19" s="1" t="s">
        <v>27</v>
      </c>
      <c r="L19" t="s">
        <v>53</v>
      </c>
      <c r="M19" t="s">
        <v>51</v>
      </c>
    </row>
    <row r="20" spans="1:13" x14ac:dyDescent="0.35">
      <c r="A20" s="1">
        <f t="shared" si="3"/>
        <v>24</v>
      </c>
      <c r="B20" t="s">
        <v>23</v>
      </c>
      <c r="C20" t="s">
        <v>22</v>
      </c>
      <c r="D20" s="1" t="s">
        <v>42</v>
      </c>
      <c r="E20" s="1" t="s">
        <v>33</v>
      </c>
      <c r="F20" s="3" t="s">
        <v>33</v>
      </c>
      <c r="G20" s="2"/>
      <c r="H20" s="1">
        <v>7500</v>
      </c>
      <c r="I20" s="5" t="s">
        <v>11</v>
      </c>
      <c r="J20" s="2" t="s">
        <v>43</v>
      </c>
      <c r="K20" s="1" t="s">
        <v>27</v>
      </c>
      <c r="L20" t="s">
        <v>54</v>
      </c>
      <c r="M20" t="s">
        <v>51</v>
      </c>
    </row>
    <row r="21" spans="1:13" x14ac:dyDescent="0.35">
      <c r="A21" s="1">
        <f t="shared" si="3"/>
        <v>25</v>
      </c>
      <c r="B21" t="s">
        <v>47</v>
      </c>
      <c r="C21" t="s">
        <v>22</v>
      </c>
      <c r="D21" s="1" t="s">
        <v>42</v>
      </c>
      <c r="E21" s="1" t="s">
        <v>33</v>
      </c>
      <c r="F21" s="3" t="s">
        <v>33</v>
      </c>
      <c r="G21" s="2"/>
      <c r="H21" s="1">
        <v>10000</v>
      </c>
      <c r="I21" s="5" t="s">
        <v>11</v>
      </c>
      <c r="J21" s="2" t="s">
        <v>43</v>
      </c>
      <c r="K21" s="1" t="s">
        <v>27</v>
      </c>
      <c r="L21" t="s">
        <v>55</v>
      </c>
      <c r="M21" t="s">
        <v>51</v>
      </c>
    </row>
    <row r="22" spans="1:13" x14ac:dyDescent="0.35">
      <c r="A22" s="1">
        <f t="shared" si="3"/>
        <v>26</v>
      </c>
      <c r="B22" t="s">
        <v>13</v>
      </c>
      <c r="C22" t="s">
        <v>9</v>
      </c>
      <c r="D22" s="1" t="s">
        <v>15</v>
      </c>
      <c r="E22" s="1" t="s">
        <v>10</v>
      </c>
      <c r="F22" s="3">
        <v>3</v>
      </c>
      <c r="G22" s="2">
        <v>46126</v>
      </c>
      <c r="H22" s="1">
        <v>22500</v>
      </c>
      <c r="I22" s="5" t="s">
        <v>11</v>
      </c>
      <c r="J22" s="2">
        <f t="shared" si="5"/>
        <v>46217</v>
      </c>
      <c r="K22" s="1" t="s">
        <v>12</v>
      </c>
      <c r="L22" t="s">
        <v>56</v>
      </c>
      <c r="M22" t="s">
        <v>51</v>
      </c>
    </row>
    <row r="23" spans="1:13" x14ac:dyDescent="0.35">
      <c r="A23" s="1">
        <f t="shared" si="3"/>
        <v>27</v>
      </c>
      <c r="B23" t="s">
        <v>20</v>
      </c>
      <c r="C23" t="s">
        <v>9</v>
      </c>
      <c r="D23" s="1" t="s">
        <v>15</v>
      </c>
      <c r="E23" s="1" t="s">
        <v>10</v>
      </c>
      <c r="F23" s="3">
        <v>3</v>
      </c>
      <c r="G23" s="2">
        <v>46068</v>
      </c>
      <c r="H23" s="1">
        <v>60000</v>
      </c>
      <c r="I23" s="5" t="s">
        <v>11</v>
      </c>
      <c r="J23" s="2">
        <f t="shared" si="5"/>
        <v>46157</v>
      </c>
      <c r="K23" s="1" t="s">
        <v>12</v>
      </c>
      <c r="L23" t="s">
        <v>73</v>
      </c>
      <c r="M23" t="s">
        <v>77</v>
      </c>
    </row>
    <row r="24" spans="1:13" x14ac:dyDescent="0.35">
      <c r="A24" s="1">
        <f t="shared" si="3"/>
        <v>28</v>
      </c>
      <c r="B24" t="s">
        <v>48</v>
      </c>
      <c r="C24" t="s">
        <v>9</v>
      </c>
      <c r="D24" s="1" t="s">
        <v>15</v>
      </c>
      <c r="E24" s="1" t="s">
        <v>10</v>
      </c>
      <c r="F24" s="3">
        <v>1</v>
      </c>
      <c r="G24" s="2">
        <v>46113</v>
      </c>
      <c r="H24" s="1">
        <v>10000</v>
      </c>
      <c r="I24" s="5" t="s">
        <v>11</v>
      </c>
      <c r="J24" s="2">
        <f t="shared" si="5"/>
        <v>46143</v>
      </c>
      <c r="K24" s="1" t="s">
        <v>12</v>
      </c>
      <c r="L24" t="s">
        <v>66</v>
      </c>
      <c r="M24" t="s">
        <v>51</v>
      </c>
    </row>
    <row r="25" spans="1:13" x14ac:dyDescent="0.35">
      <c r="A25" s="1">
        <f t="shared" si="3"/>
        <v>29</v>
      </c>
      <c r="B25" t="s">
        <v>46</v>
      </c>
      <c r="C25" t="s">
        <v>9</v>
      </c>
      <c r="D25" s="1" t="s">
        <v>15</v>
      </c>
      <c r="E25" s="1" t="s">
        <v>10</v>
      </c>
      <c r="F25" s="3">
        <v>3</v>
      </c>
      <c r="G25" s="2">
        <v>46113</v>
      </c>
      <c r="H25" s="1">
        <v>10000</v>
      </c>
      <c r="I25" s="5" t="s">
        <v>11</v>
      </c>
      <c r="J25" s="2">
        <f t="shared" si="5"/>
        <v>46204</v>
      </c>
      <c r="K25" s="1" t="s">
        <v>12</v>
      </c>
      <c r="L25" t="s">
        <v>68</v>
      </c>
      <c r="M25" t="s">
        <v>51</v>
      </c>
    </row>
    <row r="26" spans="1:13" x14ac:dyDescent="0.35">
      <c r="A26" s="1">
        <f t="shared" si="3"/>
        <v>30</v>
      </c>
      <c r="B26" t="s">
        <v>41</v>
      </c>
      <c r="C26" t="s">
        <v>9</v>
      </c>
      <c r="D26" s="1" t="s">
        <v>15</v>
      </c>
      <c r="E26" s="1" t="s">
        <v>10</v>
      </c>
      <c r="F26" s="3"/>
      <c r="G26" s="2">
        <v>46096</v>
      </c>
      <c r="H26" s="1">
        <v>15000</v>
      </c>
      <c r="I26" s="5" t="s">
        <v>11</v>
      </c>
      <c r="J26" s="2" t="str">
        <f t="shared" si="5"/>
        <v/>
      </c>
      <c r="K26" s="1" t="s">
        <v>12</v>
      </c>
      <c r="L26" t="s">
        <v>65</v>
      </c>
      <c r="M26" t="s">
        <v>51</v>
      </c>
    </row>
    <row r="27" spans="1:13" x14ac:dyDescent="0.35">
      <c r="A27" s="1">
        <f t="shared" si="3"/>
        <v>31</v>
      </c>
      <c r="B27" t="s">
        <v>30</v>
      </c>
      <c r="C27" t="s">
        <v>9</v>
      </c>
      <c r="D27" s="1" t="s">
        <v>15</v>
      </c>
      <c r="E27" s="1" t="s">
        <v>10</v>
      </c>
      <c r="F27" s="3">
        <v>2</v>
      </c>
      <c r="G27" s="2">
        <v>46030</v>
      </c>
      <c r="H27" s="1">
        <v>15000</v>
      </c>
      <c r="I27" s="5" t="s">
        <v>11</v>
      </c>
      <c r="J27" s="2">
        <f t="shared" si="5"/>
        <v>46089</v>
      </c>
      <c r="K27" s="1"/>
      <c r="L27" t="s">
        <v>67</v>
      </c>
      <c r="M27" t="s">
        <v>51</v>
      </c>
    </row>
    <row r="28" spans="1:13" x14ac:dyDescent="0.35">
      <c r="A28" s="1">
        <f t="shared" si="3"/>
        <v>32</v>
      </c>
      <c r="B28" t="s">
        <v>58</v>
      </c>
      <c r="C28" t="s">
        <v>22</v>
      </c>
      <c r="D28" s="1" t="s">
        <v>42</v>
      </c>
      <c r="E28" s="1" t="s">
        <v>33</v>
      </c>
      <c r="F28" s="3" t="s">
        <v>33</v>
      </c>
      <c r="G28" s="2">
        <v>46149</v>
      </c>
      <c r="H28" s="1">
        <v>10000</v>
      </c>
      <c r="I28" s="5" t="s">
        <v>11</v>
      </c>
      <c r="J28" s="2" t="str">
        <f t="shared" si="5"/>
        <v/>
      </c>
      <c r="K28" s="1" t="s">
        <v>27</v>
      </c>
      <c r="L28" t="s">
        <v>64</v>
      </c>
      <c r="M28" t="s">
        <v>51</v>
      </c>
    </row>
    <row r="29" spans="1:13" x14ac:dyDescent="0.35">
      <c r="A29" s="1">
        <f t="shared" si="3"/>
        <v>33</v>
      </c>
      <c r="B29" t="s">
        <v>59</v>
      </c>
      <c r="C29" t="s">
        <v>9</v>
      </c>
      <c r="D29" s="1" t="s">
        <v>15</v>
      </c>
      <c r="E29" s="1" t="s">
        <v>10</v>
      </c>
      <c r="F29" s="3"/>
      <c r="G29" s="2">
        <v>46113</v>
      </c>
      <c r="H29" s="1">
        <v>10000</v>
      </c>
      <c r="I29" s="5" t="s">
        <v>11</v>
      </c>
      <c r="J29" s="2" t="str">
        <f t="shared" si="5"/>
        <v/>
      </c>
      <c r="K29" s="1" t="s">
        <v>12</v>
      </c>
      <c r="L29" t="s">
        <v>74</v>
      </c>
      <c r="M29" t="s">
        <v>77</v>
      </c>
    </row>
    <row r="30" spans="1:13" x14ac:dyDescent="0.35">
      <c r="A30" s="1">
        <f t="shared" si="3"/>
        <v>34</v>
      </c>
      <c r="B30" t="s">
        <v>60</v>
      </c>
      <c r="C30" t="s">
        <v>22</v>
      </c>
      <c r="D30" s="1" t="s">
        <v>42</v>
      </c>
      <c r="E30" s="1" t="s">
        <v>33</v>
      </c>
      <c r="F30" s="3" t="s">
        <v>33</v>
      </c>
      <c r="G30" s="2"/>
      <c r="H30" s="1">
        <v>20000</v>
      </c>
      <c r="I30" s="5" t="s">
        <v>11</v>
      </c>
      <c r="J30" s="2" t="str">
        <f t="shared" si="5"/>
        <v/>
      </c>
      <c r="K30" s="1" t="s">
        <v>27</v>
      </c>
      <c r="L30" t="s">
        <v>72</v>
      </c>
      <c r="M30" t="s">
        <v>51</v>
      </c>
    </row>
    <row r="31" spans="1:13" x14ac:dyDescent="0.35">
      <c r="A31" s="1">
        <f t="shared" si="3"/>
        <v>35</v>
      </c>
      <c r="B31" t="s">
        <v>61</v>
      </c>
      <c r="C31" t="s">
        <v>22</v>
      </c>
      <c r="D31" s="1" t="s">
        <v>42</v>
      </c>
      <c r="E31" s="1" t="s">
        <v>33</v>
      </c>
      <c r="F31" s="3" t="s">
        <v>33</v>
      </c>
      <c r="G31" s="2"/>
      <c r="H31" s="1"/>
      <c r="J31" s="2" t="str">
        <f t="shared" si="5"/>
        <v/>
      </c>
      <c r="K31" s="1"/>
    </row>
    <row r="32" spans="1:13" x14ac:dyDescent="0.35">
      <c r="A32" s="1">
        <f t="shared" si="3"/>
        <v>36</v>
      </c>
      <c r="B32" t="s">
        <v>62</v>
      </c>
      <c r="C32" t="s">
        <v>22</v>
      </c>
      <c r="D32" s="1" t="s">
        <v>42</v>
      </c>
      <c r="E32" s="1"/>
      <c r="F32" s="3"/>
      <c r="G32" s="2"/>
      <c r="H32" s="1">
        <v>15000</v>
      </c>
      <c r="I32" s="5" t="s">
        <v>11</v>
      </c>
      <c r="J32" s="2" t="str">
        <f t="shared" si="5"/>
        <v/>
      </c>
      <c r="K32" s="1"/>
    </row>
    <row r="33" spans="1:14" x14ac:dyDescent="0.35">
      <c r="A33" s="1">
        <f t="shared" si="3"/>
        <v>37</v>
      </c>
      <c r="B33" t="s">
        <v>63</v>
      </c>
      <c r="C33" t="s">
        <v>22</v>
      </c>
      <c r="D33" s="1" t="s">
        <v>42</v>
      </c>
      <c r="E33" s="1" t="s">
        <v>33</v>
      </c>
      <c r="F33" s="3" t="s">
        <v>33</v>
      </c>
      <c r="G33" s="2"/>
      <c r="H33" s="1">
        <v>10000</v>
      </c>
      <c r="I33" s="5" t="s">
        <v>11</v>
      </c>
      <c r="J33" s="2" t="str">
        <f t="shared" si="5"/>
        <v/>
      </c>
      <c r="K33" s="1"/>
    </row>
    <row r="34" spans="1:14" x14ac:dyDescent="0.35">
      <c r="A34" s="1">
        <f t="shared" si="3"/>
        <v>38</v>
      </c>
      <c r="B34" t="s">
        <v>25</v>
      </c>
      <c r="C34" t="s">
        <v>22</v>
      </c>
      <c r="D34" s="1" t="s">
        <v>42</v>
      </c>
      <c r="E34" s="1" t="s">
        <v>33</v>
      </c>
      <c r="F34" s="3" t="s">
        <v>33</v>
      </c>
      <c r="G34" s="2"/>
      <c r="H34" s="1">
        <v>9000</v>
      </c>
      <c r="I34" s="5" t="s">
        <v>11</v>
      </c>
      <c r="J34" s="2" t="str">
        <f t="shared" si="5"/>
        <v/>
      </c>
      <c r="K34" s="1"/>
      <c r="L34" t="s">
        <v>57</v>
      </c>
      <c r="M34" t="s">
        <v>51</v>
      </c>
    </row>
    <row r="35" spans="1:14" x14ac:dyDescent="0.35">
      <c r="A35" s="1">
        <f t="shared" si="3"/>
        <v>39</v>
      </c>
      <c r="B35" t="s">
        <v>46</v>
      </c>
      <c r="C35" t="s">
        <v>22</v>
      </c>
      <c r="D35" s="1" t="s">
        <v>42</v>
      </c>
      <c r="E35" s="1" t="s">
        <v>33</v>
      </c>
      <c r="F35" s="3" t="s">
        <v>33</v>
      </c>
      <c r="G35" s="2"/>
      <c r="H35" s="1">
        <v>9000</v>
      </c>
      <c r="I35" s="5" t="s">
        <v>11</v>
      </c>
      <c r="J35" s="2" t="str">
        <f t="shared" si="5"/>
        <v/>
      </c>
      <c r="K35" s="1"/>
      <c r="L35" t="s">
        <v>71</v>
      </c>
      <c r="M35" t="s">
        <v>51</v>
      </c>
    </row>
    <row r="36" spans="1:14" x14ac:dyDescent="0.35">
      <c r="A36" s="1">
        <f t="shared" si="3"/>
        <v>40</v>
      </c>
      <c r="B36" t="s">
        <v>69</v>
      </c>
      <c r="C36" t="s">
        <v>22</v>
      </c>
      <c r="D36" s="1" t="s">
        <v>42</v>
      </c>
      <c r="E36" s="1" t="s">
        <v>33</v>
      </c>
      <c r="F36" s="3" t="s">
        <v>33</v>
      </c>
      <c r="G36" s="2">
        <v>46167</v>
      </c>
      <c r="H36" s="1">
        <v>3750</v>
      </c>
      <c r="I36" s="5" t="s">
        <v>11</v>
      </c>
      <c r="J36" s="2" t="str">
        <f t="shared" si="5"/>
        <v/>
      </c>
      <c r="K36" s="1" t="s">
        <v>27</v>
      </c>
      <c r="L36" t="s">
        <v>70</v>
      </c>
      <c r="M36" t="s">
        <v>51</v>
      </c>
      <c r="N36" t="s">
        <v>81</v>
      </c>
    </row>
    <row r="37" spans="1:14" x14ac:dyDescent="0.35">
      <c r="A37" s="1">
        <f t="shared" si="3"/>
        <v>41</v>
      </c>
      <c r="B37" t="s">
        <v>75</v>
      </c>
      <c r="C37" t="s">
        <v>22</v>
      </c>
      <c r="D37" s="1" t="s">
        <v>42</v>
      </c>
      <c r="E37" s="1" t="s">
        <v>33</v>
      </c>
      <c r="F37" s="3" t="s">
        <v>33</v>
      </c>
      <c r="G37" s="2"/>
      <c r="H37" s="1">
        <v>10000</v>
      </c>
      <c r="I37" s="5" t="s">
        <v>11</v>
      </c>
      <c r="J37" s="2" t="str">
        <f t="shared" si="5"/>
        <v/>
      </c>
      <c r="K37" s="1" t="s">
        <v>27</v>
      </c>
      <c r="L37" t="s">
        <v>76</v>
      </c>
    </row>
    <row r="38" spans="1:14" x14ac:dyDescent="0.35">
      <c r="A38" s="1">
        <f t="shared" si="3"/>
        <v>42</v>
      </c>
      <c r="B38" t="s">
        <v>80</v>
      </c>
      <c r="C38" t="s">
        <v>22</v>
      </c>
      <c r="D38" s="1" t="s">
        <v>42</v>
      </c>
      <c r="E38" s="1" t="s">
        <v>33</v>
      </c>
      <c r="F38" s="3" t="s">
        <v>33</v>
      </c>
      <c r="G38" s="6" t="s">
        <v>83</v>
      </c>
      <c r="H38" s="1">
        <v>34200</v>
      </c>
      <c r="I38" s="5" t="s">
        <v>11</v>
      </c>
      <c r="J38" s="2" t="str">
        <f t="shared" si="5"/>
        <v/>
      </c>
      <c r="K38" s="1" t="s">
        <v>27</v>
      </c>
      <c r="L38" t="s">
        <v>78</v>
      </c>
      <c r="M38" t="s">
        <v>51</v>
      </c>
      <c r="N38" t="s">
        <v>81</v>
      </c>
    </row>
    <row r="39" spans="1:14" x14ac:dyDescent="0.35">
      <c r="A39" s="1">
        <f t="shared" si="3"/>
        <v>43</v>
      </c>
      <c r="B39" t="s">
        <v>82</v>
      </c>
      <c r="C39" t="s">
        <v>22</v>
      </c>
      <c r="D39" s="1" t="s">
        <v>42</v>
      </c>
      <c r="E39" s="1" t="s">
        <v>33</v>
      </c>
      <c r="F39" s="3" t="s">
        <v>33</v>
      </c>
      <c r="G39" s="6" t="s">
        <v>83</v>
      </c>
      <c r="H39" s="1">
        <v>21000</v>
      </c>
      <c r="I39" s="5" t="s">
        <v>26</v>
      </c>
      <c r="J39" s="2" t="str">
        <f t="shared" si="5"/>
        <v/>
      </c>
      <c r="K39" s="1" t="s">
        <v>27</v>
      </c>
      <c r="L39" t="s">
        <v>79</v>
      </c>
      <c r="M39" t="s">
        <v>51</v>
      </c>
      <c r="N39" t="s">
        <v>81</v>
      </c>
    </row>
    <row r="40" spans="1:14" x14ac:dyDescent="0.35">
      <c r="A40" s="1">
        <f t="shared" si="3"/>
        <v>44</v>
      </c>
      <c r="B40" t="s">
        <v>85</v>
      </c>
      <c r="C40" t="s">
        <v>22</v>
      </c>
      <c r="D40" s="1" t="s">
        <v>42</v>
      </c>
      <c r="E40" s="1" t="s">
        <v>33</v>
      </c>
      <c r="F40" s="3" t="s">
        <v>33</v>
      </c>
      <c r="G40" s="6" t="s">
        <v>83</v>
      </c>
      <c r="H40" s="1">
        <v>21000</v>
      </c>
      <c r="I40" s="5" t="s">
        <v>11</v>
      </c>
      <c r="J40" s="2" t="str">
        <f t="shared" si="5"/>
        <v/>
      </c>
      <c r="K40" s="1" t="s">
        <v>27</v>
      </c>
      <c r="L40" t="s">
        <v>84</v>
      </c>
      <c r="M40" t="s">
        <v>51</v>
      </c>
      <c r="N40" t="s">
        <v>81</v>
      </c>
    </row>
    <row r="41" spans="1:14" x14ac:dyDescent="0.35">
      <c r="A41" s="1">
        <f t="shared" si="3"/>
        <v>45</v>
      </c>
      <c r="B41" t="s">
        <v>25</v>
      </c>
      <c r="C41" t="s">
        <v>22</v>
      </c>
      <c r="D41" s="1" t="s">
        <v>42</v>
      </c>
      <c r="E41" s="1" t="s">
        <v>33</v>
      </c>
      <c r="F41" s="3" t="s">
        <v>33</v>
      </c>
      <c r="G41" s="6" t="s">
        <v>83</v>
      </c>
      <c r="H41" s="1">
        <v>22500</v>
      </c>
      <c r="I41" s="5" t="s">
        <v>11</v>
      </c>
      <c r="J41" s="2" t="str">
        <f t="shared" si="5"/>
        <v/>
      </c>
      <c r="K41" s="1" t="s">
        <v>27</v>
      </c>
      <c r="L41" t="s">
        <v>86</v>
      </c>
      <c r="M41" t="s">
        <v>51</v>
      </c>
      <c r="N41" t="s">
        <v>81</v>
      </c>
    </row>
    <row r="42" spans="1:14" x14ac:dyDescent="0.35">
      <c r="A42" s="1">
        <f t="shared" si="3"/>
        <v>46</v>
      </c>
      <c r="B42" t="s">
        <v>87</v>
      </c>
      <c r="C42" t="s">
        <v>22</v>
      </c>
      <c r="D42" s="1" t="s">
        <v>42</v>
      </c>
      <c r="E42" s="1" t="s">
        <v>33</v>
      </c>
      <c r="F42" s="3" t="s">
        <v>33</v>
      </c>
      <c r="G42" s="6" t="s">
        <v>83</v>
      </c>
      <c r="H42" s="1">
        <v>17500</v>
      </c>
      <c r="I42" s="5" t="s">
        <v>11</v>
      </c>
      <c r="J42" s="2" t="str">
        <f t="shared" si="5"/>
        <v/>
      </c>
      <c r="K42" s="1" t="s">
        <v>27</v>
      </c>
      <c r="L42" t="s">
        <v>88</v>
      </c>
      <c r="M42" t="s">
        <v>51</v>
      </c>
      <c r="N42" t="s">
        <v>81</v>
      </c>
    </row>
    <row r="43" spans="1:14" x14ac:dyDescent="0.35">
      <c r="A43" s="1">
        <f t="shared" si="3"/>
        <v>47</v>
      </c>
      <c r="B43" t="s">
        <v>89</v>
      </c>
      <c r="C43" t="s">
        <v>22</v>
      </c>
      <c r="D43" s="1" t="s">
        <v>42</v>
      </c>
      <c r="E43" s="1" t="s">
        <v>33</v>
      </c>
      <c r="F43" s="3" t="s">
        <v>33</v>
      </c>
      <c r="G43" s="2" t="s">
        <v>83</v>
      </c>
      <c r="H43" s="1">
        <v>2500</v>
      </c>
      <c r="I43" s="5" t="s">
        <v>11</v>
      </c>
      <c r="J43" s="2" t="str">
        <f t="shared" si="5"/>
        <v/>
      </c>
      <c r="K43" s="1" t="s">
        <v>27</v>
      </c>
      <c r="L43" t="s">
        <v>90</v>
      </c>
      <c r="M43" t="s">
        <v>51</v>
      </c>
      <c r="N43" t="s">
        <v>81</v>
      </c>
    </row>
    <row r="44" spans="1:14" x14ac:dyDescent="0.35">
      <c r="A44" s="1">
        <f t="shared" si="3"/>
        <v>48</v>
      </c>
      <c r="B44" t="s">
        <v>91</v>
      </c>
      <c r="C44" t="s">
        <v>22</v>
      </c>
      <c r="D44" s="1" t="s">
        <v>42</v>
      </c>
      <c r="E44" s="1" t="s">
        <v>33</v>
      </c>
      <c r="F44" s="3" t="s">
        <v>33</v>
      </c>
      <c r="G44" s="2" t="s">
        <v>83</v>
      </c>
      <c r="H44" s="1">
        <v>7250</v>
      </c>
      <c r="I44" s="5" t="s">
        <v>11</v>
      </c>
      <c r="J44" s="2" t="str">
        <f t="shared" si="5"/>
        <v/>
      </c>
      <c r="K44" s="1" t="s">
        <v>27</v>
      </c>
      <c r="L44" t="s">
        <v>92</v>
      </c>
      <c r="M44" t="s">
        <v>51</v>
      </c>
      <c r="N44" t="s">
        <v>81</v>
      </c>
    </row>
    <row r="45" spans="1:14" x14ac:dyDescent="0.35">
      <c r="A45" s="1">
        <f t="shared" si="3"/>
        <v>49</v>
      </c>
      <c r="B45" t="s">
        <v>82</v>
      </c>
      <c r="C45" t="s">
        <v>22</v>
      </c>
      <c r="D45" s="1" t="s">
        <v>42</v>
      </c>
      <c r="E45" s="1" t="s">
        <v>33</v>
      </c>
      <c r="F45" s="3" t="s">
        <v>33</v>
      </c>
      <c r="G45" s="2" t="s">
        <v>94</v>
      </c>
      <c r="H45" s="1">
        <v>27000</v>
      </c>
      <c r="I45" s="5" t="s">
        <v>26</v>
      </c>
      <c r="J45" s="2" t="str">
        <f t="shared" si="5"/>
        <v/>
      </c>
      <c r="K45" s="1" t="s">
        <v>27</v>
      </c>
      <c r="L45" t="s">
        <v>95</v>
      </c>
      <c r="M45" t="s">
        <v>51</v>
      </c>
      <c r="N45" t="s">
        <v>81</v>
      </c>
    </row>
    <row r="46" spans="1:14" x14ac:dyDescent="0.35">
      <c r="A46" s="1">
        <f t="shared" si="3"/>
        <v>50</v>
      </c>
      <c r="B46" t="s">
        <v>80</v>
      </c>
      <c r="C46" t="s">
        <v>22</v>
      </c>
      <c r="D46" s="1" t="s">
        <v>42</v>
      </c>
      <c r="E46" s="1" t="s">
        <v>33</v>
      </c>
      <c r="F46" s="3" t="s">
        <v>33</v>
      </c>
      <c r="G46" s="6" t="s">
        <v>94</v>
      </c>
      <c r="H46" s="1">
        <v>26600</v>
      </c>
      <c r="I46" s="5" t="s">
        <v>11</v>
      </c>
      <c r="J46" s="2" t="str">
        <f t="shared" ref="J46:J50" si="7">IF(E46="One-time","",IF(G46="", "",IF(E46="Monthly", EDATE(G46,1), IF(E46="Prepaid", IF(F46="", "", EDATE(G46, F46)), ""))))</f>
        <v/>
      </c>
      <c r="K46" s="1" t="s">
        <v>27</v>
      </c>
      <c r="L46" t="s">
        <v>96</v>
      </c>
      <c r="M46" t="s">
        <v>93</v>
      </c>
      <c r="N46" t="s">
        <v>81</v>
      </c>
    </row>
    <row r="47" spans="1:14" x14ac:dyDescent="0.35">
      <c r="A47" s="1">
        <f t="shared" si="3"/>
        <v>51</v>
      </c>
      <c r="B47" t="s">
        <v>112</v>
      </c>
      <c r="C47" t="s">
        <v>22</v>
      </c>
      <c r="D47" s="1" t="s">
        <v>42</v>
      </c>
      <c r="E47" s="1" t="s">
        <v>33</v>
      </c>
      <c r="F47" s="3" t="s">
        <v>33</v>
      </c>
      <c r="G47" s="6" t="s">
        <v>94</v>
      </c>
      <c r="H47" s="1">
        <v>22500</v>
      </c>
      <c r="I47" s="5" t="s">
        <v>11</v>
      </c>
      <c r="J47" s="2" t="str">
        <f t="shared" si="7"/>
        <v/>
      </c>
      <c r="K47" s="1" t="s">
        <v>27</v>
      </c>
      <c r="L47" t="s">
        <v>97</v>
      </c>
      <c r="M47" t="s">
        <v>51</v>
      </c>
      <c r="N47" t="s">
        <v>81</v>
      </c>
    </row>
    <row r="48" spans="1:14" x14ac:dyDescent="0.35">
      <c r="A48" s="1">
        <f t="shared" si="3"/>
        <v>52</v>
      </c>
      <c r="B48" t="s">
        <v>25</v>
      </c>
      <c r="C48" t="s">
        <v>22</v>
      </c>
      <c r="D48" s="1" t="s">
        <v>42</v>
      </c>
      <c r="E48" s="1" t="s">
        <v>33</v>
      </c>
      <c r="F48" s="3" t="s">
        <v>33</v>
      </c>
      <c r="G48" s="6" t="s">
        <v>94</v>
      </c>
      <c r="H48" s="1">
        <v>30000</v>
      </c>
      <c r="I48" s="5" t="s">
        <v>11</v>
      </c>
      <c r="J48" s="2" t="str">
        <f t="shared" si="7"/>
        <v/>
      </c>
      <c r="K48" s="1" t="s">
        <v>27</v>
      </c>
      <c r="L48" t="s">
        <v>98</v>
      </c>
      <c r="M48" t="s">
        <v>51</v>
      </c>
      <c r="N48" t="s">
        <v>81</v>
      </c>
    </row>
    <row r="49" spans="1:14" x14ac:dyDescent="0.35">
      <c r="A49" s="1">
        <f t="shared" si="3"/>
        <v>53</v>
      </c>
      <c r="B49" t="s">
        <v>91</v>
      </c>
      <c r="C49" t="s">
        <v>22</v>
      </c>
      <c r="D49" s="1" t="s">
        <v>42</v>
      </c>
      <c r="E49" s="1" t="s">
        <v>33</v>
      </c>
      <c r="F49" s="3" t="s">
        <v>33</v>
      </c>
      <c r="G49" s="2" t="s">
        <v>94</v>
      </c>
      <c r="H49" s="1">
        <v>23250</v>
      </c>
      <c r="I49" s="5" t="s">
        <v>11</v>
      </c>
      <c r="J49" s="2" t="str">
        <f t="shared" si="7"/>
        <v/>
      </c>
      <c r="K49" s="1" t="s">
        <v>27</v>
      </c>
      <c r="L49" t="s">
        <v>99</v>
      </c>
      <c r="M49" t="s">
        <v>51</v>
      </c>
      <c r="N49" t="s">
        <v>81</v>
      </c>
    </row>
    <row r="50" spans="1:14" x14ac:dyDescent="0.35">
      <c r="A50" s="1">
        <f t="shared" si="3"/>
        <v>54</v>
      </c>
      <c r="B50" t="s">
        <v>87</v>
      </c>
      <c r="C50" t="s">
        <v>22</v>
      </c>
      <c r="D50" s="1" t="s">
        <v>42</v>
      </c>
      <c r="E50" s="1" t="s">
        <v>33</v>
      </c>
      <c r="F50" s="3" t="s">
        <v>33</v>
      </c>
      <c r="G50" s="6" t="s">
        <v>94</v>
      </c>
      <c r="H50" s="1">
        <v>10000</v>
      </c>
      <c r="I50" s="5" t="s">
        <v>11</v>
      </c>
      <c r="J50" s="2" t="str">
        <f t="shared" si="7"/>
        <v/>
      </c>
      <c r="K50" s="1" t="s">
        <v>27</v>
      </c>
      <c r="L50" t="s">
        <v>100</v>
      </c>
      <c r="M50" t="s">
        <v>51</v>
      </c>
      <c r="N50" t="s">
        <v>81</v>
      </c>
    </row>
    <row r="51" spans="1:14" x14ac:dyDescent="0.35">
      <c r="A51" s="1">
        <f t="shared" si="3"/>
        <v>55</v>
      </c>
      <c r="B51" t="s">
        <v>46</v>
      </c>
      <c r="C51" t="s">
        <v>22</v>
      </c>
      <c r="D51" s="1" t="s">
        <v>42</v>
      </c>
      <c r="E51" s="1" t="s">
        <v>33</v>
      </c>
      <c r="F51" s="3" t="s">
        <v>33</v>
      </c>
      <c r="G51" s="6" t="s">
        <v>94</v>
      </c>
      <c r="H51" s="1">
        <v>22500</v>
      </c>
      <c r="I51" s="5" t="s">
        <v>11</v>
      </c>
      <c r="J51" s="2" t="str">
        <f t="shared" ref="J51" si="8">IF(E51="One-time","",IF(G51="", "",IF(E51="Monthly", EDATE(G51,1), IF(E51="Prepaid", IF(F51="", "", EDATE(G51, F51)), ""))))</f>
        <v/>
      </c>
      <c r="K51" s="1" t="s">
        <v>27</v>
      </c>
      <c r="L51" t="s">
        <v>101</v>
      </c>
      <c r="M51" t="s">
        <v>51</v>
      </c>
      <c r="N51" t="s">
        <v>81</v>
      </c>
    </row>
    <row r="52" spans="1:14" x14ac:dyDescent="0.35">
      <c r="A52" s="1">
        <f t="shared" si="3"/>
        <v>56</v>
      </c>
      <c r="B52" t="s">
        <v>102</v>
      </c>
      <c r="C52" t="s">
        <v>22</v>
      </c>
      <c r="D52" s="1" t="s">
        <v>42</v>
      </c>
      <c r="E52" s="1" t="s">
        <v>33</v>
      </c>
      <c r="F52" s="3" t="s">
        <v>33</v>
      </c>
      <c r="G52" s="6" t="s">
        <v>94</v>
      </c>
      <c r="H52" s="1">
        <v>10500</v>
      </c>
      <c r="I52" s="5" t="s">
        <v>11</v>
      </c>
      <c r="J52" s="2" t="str">
        <f t="shared" ref="J52" si="9">IF(E52="One-time","",IF(G52="", "",IF(E52="Monthly", EDATE(G52,1), IF(E52="Prepaid", IF(F52="", "", EDATE(G52, F52)), ""))))</f>
        <v/>
      </c>
      <c r="K52" s="1" t="s">
        <v>27</v>
      </c>
      <c r="L52" t="s">
        <v>103</v>
      </c>
      <c r="M52" t="s">
        <v>129</v>
      </c>
      <c r="N52" t="s">
        <v>81</v>
      </c>
    </row>
    <row r="53" spans="1:14" x14ac:dyDescent="0.35">
      <c r="A53" s="1">
        <f t="shared" si="3"/>
        <v>57</v>
      </c>
      <c r="B53" t="s">
        <v>104</v>
      </c>
      <c r="C53" t="s">
        <v>22</v>
      </c>
      <c r="D53" s="1" t="s">
        <v>42</v>
      </c>
      <c r="E53" s="1" t="s">
        <v>33</v>
      </c>
      <c r="F53" s="3" t="s">
        <v>33</v>
      </c>
      <c r="G53" s="6" t="s">
        <v>94</v>
      </c>
      <c r="H53" s="1">
        <v>10500</v>
      </c>
      <c r="I53" s="5" t="s">
        <v>11</v>
      </c>
      <c r="J53" s="2" t="str">
        <f t="shared" ref="J53" si="10">IF(E53="One-time","",IF(G53="", "",IF(E53="Monthly", EDATE(G53,1), IF(E53="Prepaid", IF(F53="", "", EDATE(G53, F53)), ""))))</f>
        <v/>
      </c>
      <c r="K53" s="1" t="s">
        <v>27</v>
      </c>
      <c r="L53" t="s">
        <v>105</v>
      </c>
      <c r="M53" t="s">
        <v>129</v>
      </c>
      <c r="N53" t="s">
        <v>81</v>
      </c>
    </row>
    <row r="54" spans="1:14" x14ac:dyDescent="0.35">
      <c r="A54" s="1">
        <f t="shared" si="3"/>
        <v>58</v>
      </c>
      <c r="B54" t="s">
        <v>62</v>
      </c>
      <c r="C54" t="s">
        <v>22</v>
      </c>
      <c r="D54" s="1" t="s">
        <v>42</v>
      </c>
      <c r="E54" s="1" t="s">
        <v>33</v>
      </c>
      <c r="F54" s="3" t="s">
        <v>33</v>
      </c>
      <c r="G54" s="2" t="s">
        <v>94</v>
      </c>
      <c r="H54" s="1">
        <v>15000</v>
      </c>
      <c r="I54" s="5" t="s">
        <v>11</v>
      </c>
      <c r="J54" s="2" t="str">
        <f t="shared" si="5"/>
        <v/>
      </c>
      <c r="K54" s="1" t="s">
        <v>27</v>
      </c>
      <c r="L54" t="s">
        <v>106</v>
      </c>
      <c r="M54" t="s">
        <v>51</v>
      </c>
      <c r="N54" t="s">
        <v>107</v>
      </c>
    </row>
    <row r="55" spans="1:14" x14ac:dyDescent="0.35">
      <c r="A55" s="1">
        <f t="shared" si="3"/>
        <v>59</v>
      </c>
      <c r="B55" t="s">
        <v>108</v>
      </c>
      <c r="C55" t="s">
        <v>22</v>
      </c>
      <c r="D55" s="1" t="s">
        <v>42</v>
      </c>
      <c r="E55" s="1" t="s">
        <v>33</v>
      </c>
      <c r="F55" s="3" t="s">
        <v>33</v>
      </c>
      <c r="G55" s="2" t="s">
        <v>109</v>
      </c>
      <c r="H55" s="1">
        <v>2500</v>
      </c>
      <c r="I55" s="5" t="s">
        <v>11</v>
      </c>
      <c r="J55" s="2" t="str">
        <f t="shared" si="5"/>
        <v/>
      </c>
      <c r="K55" s="1" t="s">
        <v>27</v>
      </c>
      <c r="L55" t="s">
        <v>110</v>
      </c>
      <c r="M55" t="s">
        <v>51</v>
      </c>
      <c r="N55" t="s">
        <v>81</v>
      </c>
    </row>
    <row r="56" spans="1:14" x14ac:dyDescent="0.35">
      <c r="A56" s="1">
        <f>A55+1</f>
        <v>60</v>
      </c>
      <c r="B56" t="s">
        <v>111</v>
      </c>
      <c r="C56" t="s">
        <v>22</v>
      </c>
      <c r="D56" s="1" t="s">
        <v>42</v>
      </c>
      <c r="E56" s="1" t="s">
        <v>33</v>
      </c>
      <c r="F56" s="3" t="s">
        <v>33</v>
      </c>
      <c r="G56" s="2" t="s">
        <v>109</v>
      </c>
      <c r="H56" s="1">
        <v>2500</v>
      </c>
      <c r="I56" s="5" t="s">
        <v>11</v>
      </c>
      <c r="J56" s="2" t="str">
        <f t="shared" si="5"/>
        <v/>
      </c>
      <c r="K56" s="1" t="s">
        <v>27</v>
      </c>
      <c r="L56" t="s">
        <v>116</v>
      </c>
      <c r="M56" t="s">
        <v>51</v>
      </c>
      <c r="N56" t="s">
        <v>81</v>
      </c>
    </row>
    <row r="57" spans="1:14" x14ac:dyDescent="0.35">
      <c r="A57" s="1">
        <v>61</v>
      </c>
      <c r="B57" t="s">
        <v>117</v>
      </c>
      <c r="C57" t="s">
        <v>22</v>
      </c>
      <c r="D57" s="1" t="s">
        <v>42</v>
      </c>
      <c r="E57" s="1" t="s">
        <v>33</v>
      </c>
      <c r="F57" s="3" t="s">
        <v>33</v>
      </c>
      <c r="G57" s="2" t="s">
        <v>109</v>
      </c>
      <c r="H57" s="1">
        <v>9000</v>
      </c>
      <c r="I57" s="5" t="s">
        <v>11</v>
      </c>
      <c r="J57" s="2" t="str">
        <f t="shared" si="5"/>
        <v/>
      </c>
      <c r="K57" s="1" t="s">
        <v>27</v>
      </c>
      <c r="L57" t="s">
        <v>118</v>
      </c>
      <c r="M57" t="s">
        <v>51</v>
      </c>
      <c r="N57" t="s">
        <v>107</v>
      </c>
    </row>
    <row r="58" spans="1:14" x14ac:dyDescent="0.35">
      <c r="A58" s="1">
        <v>62</v>
      </c>
      <c r="B58" t="s">
        <v>117</v>
      </c>
      <c r="C58" t="s">
        <v>9</v>
      </c>
      <c r="D58" s="1" t="s">
        <v>15</v>
      </c>
      <c r="E58" s="1" t="s">
        <v>15</v>
      </c>
      <c r="F58" s="3">
        <v>1</v>
      </c>
      <c r="G58" s="2" t="s">
        <v>109</v>
      </c>
      <c r="H58" s="1">
        <v>15000</v>
      </c>
      <c r="I58" s="5" t="s">
        <v>11</v>
      </c>
      <c r="J58" s="2" t="s">
        <v>119</v>
      </c>
      <c r="K58" s="1" t="s">
        <v>27</v>
      </c>
      <c r="L58" t="s">
        <v>120</v>
      </c>
      <c r="M58" t="s">
        <v>51</v>
      </c>
      <c r="N58" t="s">
        <v>107</v>
      </c>
    </row>
    <row r="59" spans="1:14" x14ac:dyDescent="0.35">
      <c r="A59" s="1">
        <v>63</v>
      </c>
      <c r="B59" t="s">
        <v>121</v>
      </c>
      <c r="C59" t="s">
        <v>22</v>
      </c>
      <c r="D59" s="1" t="s">
        <v>42</v>
      </c>
      <c r="E59" s="1" t="s">
        <v>33</v>
      </c>
      <c r="F59" s="3" t="s">
        <v>33</v>
      </c>
      <c r="G59" s="2" t="s">
        <v>109</v>
      </c>
      <c r="H59" s="1">
        <v>10000</v>
      </c>
      <c r="I59" s="5" t="s">
        <v>11</v>
      </c>
      <c r="J59" s="2"/>
      <c r="K59" s="1" t="s">
        <v>27</v>
      </c>
      <c r="L59" t="s">
        <v>122</v>
      </c>
      <c r="M59" t="s">
        <v>51</v>
      </c>
      <c r="N59" t="s">
        <v>107</v>
      </c>
    </row>
    <row r="60" spans="1:14" x14ac:dyDescent="0.35">
      <c r="A60" s="1">
        <v>64</v>
      </c>
      <c r="B60" t="s">
        <v>114</v>
      </c>
      <c r="C60" t="s">
        <v>22</v>
      </c>
      <c r="D60" s="1" t="s">
        <v>42</v>
      </c>
      <c r="E60" s="1" t="s">
        <v>33</v>
      </c>
      <c r="F60" s="3" t="s">
        <v>33</v>
      </c>
      <c r="G60" s="2" t="s">
        <v>109</v>
      </c>
      <c r="H60" s="1">
        <v>2500</v>
      </c>
      <c r="I60" s="5" t="s">
        <v>11</v>
      </c>
      <c r="J60" s="2" t="str">
        <f t="shared" si="5"/>
        <v/>
      </c>
      <c r="K60" s="1" t="s">
        <v>27</v>
      </c>
      <c r="L60" t="s">
        <v>123</v>
      </c>
      <c r="M60" t="s">
        <v>51</v>
      </c>
      <c r="N60" t="s">
        <v>81</v>
      </c>
    </row>
    <row r="61" spans="1:14" x14ac:dyDescent="0.35">
      <c r="A61" s="1">
        <v>65</v>
      </c>
      <c r="B61" t="s">
        <v>20</v>
      </c>
      <c r="C61" t="s">
        <v>9</v>
      </c>
      <c r="D61" s="1" t="s">
        <v>15</v>
      </c>
      <c r="E61" s="1" t="s">
        <v>15</v>
      </c>
      <c r="F61" s="3">
        <v>2</v>
      </c>
      <c r="G61" s="2" t="s">
        <v>109</v>
      </c>
      <c r="H61" s="1">
        <v>10000</v>
      </c>
      <c r="I61" s="5" t="s">
        <v>11</v>
      </c>
      <c r="J61" s="2" t="s">
        <v>124</v>
      </c>
      <c r="K61" s="1" t="s">
        <v>27</v>
      </c>
      <c r="L61" t="s">
        <v>125</v>
      </c>
      <c r="M61" t="s">
        <v>51</v>
      </c>
      <c r="N61" t="s">
        <v>107</v>
      </c>
    </row>
    <row r="62" spans="1:14" x14ac:dyDescent="0.35">
      <c r="A62" s="1">
        <v>66</v>
      </c>
      <c r="B62" t="s">
        <v>59</v>
      </c>
      <c r="C62" t="s">
        <v>9</v>
      </c>
      <c r="D62" s="1" t="s">
        <v>15</v>
      </c>
      <c r="E62" s="1" t="s">
        <v>15</v>
      </c>
      <c r="F62" s="3">
        <v>2</v>
      </c>
      <c r="G62" s="2">
        <v>46174</v>
      </c>
      <c r="H62" s="1">
        <v>20000</v>
      </c>
      <c r="I62" s="5" t="s">
        <v>11</v>
      </c>
      <c r="J62" s="2">
        <v>46235</v>
      </c>
      <c r="K62" s="1" t="s">
        <v>27</v>
      </c>
      <c r="L62" t="s">
        <v>126</v>
      </c>
      <c r="M62" t="s">
        <v>51</v>
      </c>
      <c r="N62" t="s">
        <v>107</v>
      </c>
    </row>
    <row r="63" spans="1:14" x14ac:dyDescent="0.35">
      <c r="A63" s="1">
        <v>67</v>
      </c>
      <c r="B63" t="s">
        <v>127</v>
      </c>
      <c r="C63" t="s">
        <v>22</v>
      </c>
      <c r="D63" s="1" t="s">
        <v>42</v>
      </c>
      <c r="E63" s="1" t="s">
        <v>33</v>
      </c>
      <c r="F63" s="3" t="s">
        <v>33</v>
      </c>
      <c r="G63" s="2" t="s">
        <v>109</v>
      </c>
      <c r="H63" s="1">
        <v>15000</v>
      </c>
      <c r="I63" s="5" t="s">
        <v>11</v>
      </c>
      <c r="J63" s="2" t="str">
        <f>IF(E63="One-time","",IF(G63="", "",IF(E63="Monthly", EDATE(G63,1), IF(E63="Prepaid", IF(F63="", "", EDATE(G63, F63)), ""))))</f>
        <v/>
      </c>
      <c r="K63" s="1"/>
      <c r="N63" t="s">
        <v>107</v>
      </c>
    </row>
    <row r="64" spans="1:14" x14ac:dyDescent="0.35">
      <c r="A64" s="1">
        <v>68</v>
      </c>
      <c r="B64" t="s">
        <v>30</v>
      </c>
      <c r="C64" t="s">
        <v>9</v>
      </c>
      <c r="D64" s="1" t="s">
        <v>15</v>
      </c>
      <c r="E64" s="1" t="s">
        <v>15</v>
      </c>
      <c r="F64" s="3">
        <v>1</v>
      </c>
      <c r="G64" s="2" t="s">
        <v>109</v>
      </c>
      <c r="H64" s="1">
        <v>7500</v>
      </c>
      <c r="I64" s="5" t="s">
        <v>11</v>
      </c>
      <c r="J64" s="2" t="s">
        <v>124</v>
      </c>
      <c r="K64" s="1" t="s">
        <v>27</v>
      </c>
      <c r="L64" t="s">
        <v>130</v>
      </c>
      <c r="M64" t="s">
        <v>51</v>
      </c>
      <c r="N64" t="s">
        <v>107</v>
      </c>
    </row>
    <row r="65" spans="1:14" x14ac:dyDescent="0.35">
      <c r="A65" s="1">
        <v>69</v>
      </c>
      <c r="B65" t="s">
        <v>131</v>
      </c>
      <c r="C65" t="s">
        <v>22</v>
      </c>
      <c r="D65" s="1" t="s">
        <v>42</v>
      </c>
      <c r="E65" s="1" t="s">
        <v>33</v>
      </c>
      <c r="F65" s="3" t="s">
        <v>33</v>
      </c>
      <c r="G65" s="2" t="s">
        <v>109</v>
      </c>
      <c r="H65" s="1">
        <v>29500</v>
      </c>
      <c r="I65" s="5" t="s">
        <v>11</v>
      </c>
      <c r="J65" s="2"/>
      <c r="K65" s="1" t="s">
        <v>27</v>
      </c>
      <c r="L65" t="s">
        <v>132</v>
      </c>
      <c r="M65" t="s">
        <v>51</v>
      </c>
      <c r="N65" t="s">
        <v>81</v>
      </c>
    </row>
    <row r="66" spans="1:14" x14ac:dyDescent="0.35">
      <c r="A66" s="1">
        <v>70</v>
      </c>
      <c r="B66" t="s">
        <v>87</v>
      </c>
      <c r="C66" t="s">
        <v>22</v>
      </c>
      <c r="D66" s="1" t="s">
        <v>42</v>
      </c>
      <c r="E66" s="1" t="s">
        <v>33</v>
      </c>
      <c r="F66" s="3" t="s">
        <v>33</v>
      </c>
      <c r="G66" s="2" t="s">
        <v>109</v>
      </c>
      <c r="H66" s="1">
        <v>5000</v>
      </c>
      <c r="I66" s="5" t="s">
        <v>11</v>
      </c>
      <c r="J66" s="2"/>
      <c r="K66" s="1" t="s">
        <v>27</v>
      </c>
      <c r="L66" t="s">
        <v>133</v>
      </c>
      <c r="M66" t="s">
        <v>51</v>
      </c>
      <c r="N66" t="s">
        <v>81</v>
      </c>
    </row>
    <row r="67" spans="1:14" x14ac:dyDescent="0.35">
      <c r="A67" s="1">
        <v>71</v>
      </c>
      <c r="B67" t="s">
        <v>108</v>
      </c>
      <c r="C67" t="s">
        <v>22</v>
      </c>
      <c r="D67" s="1" t="s">
        <v>42</v>
      </c>
      <c r="E67" s="1" t="s">
        <v>33</v>
      </c>
      <c r="F67" s="3" t="s">
        <v>33</v>
      </c>
      <c r="G67" s="2" t="s">
        <v>109</v>
      </c>
      <c r="H67" s="1">
        <v>9000</v>
      </c>
      <c r="I67" s="5" t="s">
        <v>11</v>
      </c>
      <c r="J67" s="2"/>
      <c r="K67" s="1" t="s">
        <v>27</v>
      </c>
      <c r="L67" t="s">
        <v>134</v>
      </c>
      <c r="M67" t="s">
        <v>51</v>
      </c>
      <c r="N67" t="s">
        <v>81</v>
      </c>
    </row>
    <row r="68" spans="1:14" x14ac:dyDescent="0.35">
      <c r="A68" s="1">
        <v>72</v>
      </c>
      <c r="B68" t="s">
        <v>82</v>
      </c>
      <c r="C68" t="s">
        <v>22</v>
      </c>
      <c r="D68" s="1" t="s">
        <v>42</v>
      </c>
      <c r="E68" s="1" t="s">
        <v>33</v>
      </c>
      <c r="F68" s="3" t="s">
        <v>33</v>
      </c>
      <c r="G68" s="2" t="s">
        <v>109</v>
      </c>
      <c r="H68" s="1">
        <v>12500</v>
      </c>
      <c r="I68" s="5" t="s">
        <v>26</v>
      </c>
      <c r="J68" s="2"/>
      <c r="K68" s="1" t="s">
        <v>27</v>
      </c>
      <c r="L68" t="s">
        <v>135</v>
      </c>
      <c r="M68" t="s">
        <v>51</v>
      </c>
      <c r="N68" t="s">
        <v>81</v>
      </c>
    </row>
    <row r="69" spans="1:14" x14ac:dyDescent="0.35">
      <c r="A69" s="1">
        <v>73</v>
      </c>
      <c r="B69" t="s">
        <v>61</v>
      </c>
      <c r="C69" t="s">
        <v>22</v>
      </c>
      <c r="D69" s="1" t="s">
        <v>42</v>
      </c>
      <c r="E69" s="1" t="s">
        <v>33</v>
      </c>
      <c r="F69" s="3" t="s">
        <v>33</v>
      </c>
      <c r="G69" s="2" t="s">
        <v>109</v>
      </c>
      <c r="H69" s="1">
        <v>18000</v>
      </c>
      <c r="I69" s="5" t="s">
        <v>11</v>
      </c>
      <c r="J69" s="2"/>
      <c r="K69" s="1" t="s">
        <v>27</v>
      </c>
      <c r="L69" t="s">
        <v>136</v>
      </c>
      <c r="M69" t="s">
        <v>51</v>
      </c>
      <c r="N69" t="s">
        <v>81</v>
      </c>
    </row>
    <row r="70" spans="1:14" x14ac:dyDescent="0.35">
      <c r="A70" s="1">
        <v>74</v>
      </c>
      <c r="B70" t="s">
        <v>115</v>
      </c>
      <c r="C70" t="s">
        <v>22</v>
      </c>
      <c r="D70" s="1" t="s">
        <v>42</v>
      </c>
      <c r="E70" s="1" t="s">
        <v>33</v>
      </c>
      <c r="F70" s="3" t="s">
        <v>33</v>
      </c>
      <c r="G70" s="2" t="s">
        <v>109</v>
      </c>
      <c r="H70" s="1">
        <v>9000</v>
      </c>
      <c r="I70" s="5" t="s">
        <v>11</v>
      </c>
      <c r="J70" s="2"/>
      <c r="K70" s="1" t="s">
        <v>27</v>
      </c>
      <c r="L70" t="s">
        <v>137</v>
      </c>
      <c r="M70" t="s">
        <v>51</v>
      </c>
      <c r="N70" t="s">
        <v>81</v>
      </c>
    </row>
    <row r="71" spans="1:14" x14ac:dyDescent="0.35">
      <c r="A71" s="1">
        <v>75</v>
      </c>
      <c r="B71" t="s">
        <v>112</v>
      </c>
      <c r="C71" t="s">
        <v>22</v>
      </c>
      <c r="D71" s="1" t="s">
        <v>42</v>
      </c>
      <c r="E71" s="1" t="s">
        <v>33</v>
      </c>
      <c r="F71" s="3" t="s">
        <v>33</v>
      </c>
      <c r="G71" s="2" t="s">
        <v>109</v>
      </c>
      <c r="H71" s="1">
        <v>17500</v>
      </c>
      <c r="I71" s="5" t="s">
        <v>11</v>
      </c>
      <c r="J71" s="2"/>
      <c r="K71" s="1" t="s">
        <v>27</v>
      </c>
      <c r="L71" t="s">
        <v>138</v>
      </c>
      <c r="M71" t="s">
        <v>51</v>
      </c>
      <c r="N71" t="s">
        <v>81</v>
      </c>
    </row>
    <row r="72" spans="1:14" x14ac:dyDescent="0.35">
      <c r="A72" s="1">
        <v>76</v>
      </c>
      <c r="B72" t="s">
        <v>140</v>
      </c>
      <c r="C72" t="s">
        <v>22</v>
      </c>
      <c r="D72" s="1" t="s">
        <v>42</v>
      </c>
      <c r="E72" s="1" t="s">
        <v>33</v>
      </c>
      <c r="F72" s="3" t="s">
        <v>33</v>
      </c>
      <c r="G72" s="2" t="s">
        <v>109</v>
      </c>
      <c r="H72" s="1">
        <v>21250</v>
      </c>
      <c r="I72" s="5" t="s">
        <v>11</v>
      </c>
      <c r="J72" s="2"/>
      <c r="K72" s="1" t="s">
        <v>27</v>
      </c>
      <c r="L72" t="s">
        <v>139</v>
      </c>
      <c r="M72" t="s">
        <v>51</v>
      </c>
      <c r="N72" t="s">
        <v>81</v>
      </c>
    </row>
    <row r="73" spans="1:14" x14ac:dyDescent="0.35">
      <c r="A73" s="1">
        <v>77</v>
      </c>
      <c r="B73" t="s">
        <v>141</v>
      </c>
      <c r="C73" t="s">
        <v>22</v>
      </c>
      <c r="D73" s="1" t="s">
        <v>42</v>
      </c>
      <c r="E73" s="1" t="s">
        <v>33</v>
      </c>
      <c r="F73" s="3" t="s">
        <v>33</v>
      </c>
      <c r="G73" s="2" t="s">
        <v>109</v>
      </c>
      <c r="H73" s="1">
        <v>12000</v>
      </c>
      <c r="I73" s="5" t="s">
        <v>11</v>
      </c>
      <c r="J73" s="2"/>
      <c r="K73" s="1" t="s">
        <v>27</v>
      </c>
      <c r="L73" t="s">
        <v>142</v>
      </c>
      <c r="M73" t="s">
        <v>51</v>
      </c>
      <c r="N73" t="s">
        <v>81</v>
      </c>
    </row>
    <row r="74" spans="1:14" x14ac:dyDescent="0.35">
      <c r="A74" s="1">
        <v>78</v>
      </c>
      <c r="B74" t="s">
        <v>121</v>
      </c>
      <c r="C74" t="s">
        <v>9</v>
      </c>
      <c r="D74" s="1" t="s">
        <v>15</v>
      </c>
      <c r="E74" s="1" t="s">
        <v>15</v>
      </c>
      <c r="F74" s="3">
        <v>1</v>
      </c>
      <c r="G74" s="2" t="s">
        <v>119</v>
      </c>
      <c r="H74" s="1">
        <v>7500</v>
      </c>
      <c r="I74" s="5" t="s">
        <v>11</v>
      </c>
      <c r="J74" s="2" t="s">
        <v>124</v>
      </c>
      <c r="K74" s="1" t="s">
        <v>12</v>
      </c>
      <c r="L74" t="s">
        <v>144</v>
      </c>
      <c r="M74" t="s">
        <v>148</v>
      </c>
      <c r="N74" t="s">
        <v>107</v>
      </c>
    </row>
    <row r="75" spans="1:14" x14ac:dyDescent="0.35">
      <c r="A75" s="1">
        <v>79</v>
      </c>
      <c r="B75" t="s">
        <v>143</v>
      </c>
      <c r="C75" t="s">
        <v>22</v>
      </c>
      <c r="D75" s="1" t="s">
        <v>42</v>
      </c>
      <c r="E75" s="1" t="s">
        <v>33</v>
      </c>
      <c r="F75" s="3">
        <v>1</v>
      </c>
      <c r="G75" s="2" t="s">
        <v>119</v>
      </c>
      <c r="H75" s="1">
        <v>49500</v>
      </c>
      <c r="I75" s="5" t="s">
        <v>11</v>
      </c>
      <c r="J75" s="2"/>
      <c r="K75" s="1" t="s">
        <v>27</v>
      </c>
      <c r="L75" t="s">
        <v>145</v>
      </c>
      <c r="M75" t="s">
        <v>51</v>
      </c>
      <c r="N75" t="s">
        <v>81</v>
      </c>
    </row>
    <row r="76" spans="1:14" x14ac:dyDescent="0.35">
      <c r="A76" s="1">
        <v>80</v>
      </c>
      <c r="B76" t="s">
        <v>89</v>
      </c>
      <c r="C76" t="s">
        <v>22</v>
      </c>
      <c r="D76" s="1" t="s">
        <v>42</v>
      </c>
      <c r="E76" s="1" t="s">
        <v>33</v>
      </c>
      <c r="F76" s="3" t="s">
        <v>33</v>
      </c>
      <c r="G76" s="2" t="s">
        <v>119</v>
      </c>
      <c r="H76" s="1">
        <v>10000</v>
      </c>
      <c r="I76" s="5" t="s">
        <v>11</v>
      </c>
      <c r="K76" s="1" t="s">
        <v>27</v>
      </c>
      <c r="L76" t="s">
        <v>146</v>
      </c>
      <c r="M76" t="s">
        <v>51</v>
      </c>
      <c r="N76" t="s">
        <v>107</v>
      </c>
    </row>
    <row r="77" spans="1:14" x14ac:dyDescent="0.35">
      <c r="A77" s="1">
        <v>81</v>
      </c>
      <c r="B77" t="s">
        <v>113</v>
      </c>
      <c r="C77" t="s">
        <v>22</v>
      </c>
      <c r="D77" s="1" t="s">
        <v>42</v>
      </c>
      <c r="E77" s="1" t="s">
        <v>33</v>
      </c>
      <c r="F77" s="3" t="s">
        <v>33</v>
      </c>
      <c r="G77" s="2" t="s">
        <v>119</v>
      </c>
      <c r="H77" s="1">
        <v>7500</v>
      </c>
      <c r="I77" s="5" t="s">
        <v>11</v>
      </c>
      <c r="J77" s="2" t="str">
        <f>IF(E77="One-time","",IF(G77="", "",IF(E77="Monthly", EDATE(G77,1), IF(E77="Prepaid", IF(F77="", "", EDATE(G77, F77)), ""))))</f>
        <v/>
      </c>
      <c r="K77" s="1" t="s">
        <v>27</v>
      </c>
      <c r="L77" t="s">
        <v>147</v>
      </c>
      <c r="M77" t="s">
        <v>51</v>
      </c>
      <c r="N77" t="s">
        <v>107</v>
      </c>
    </row>
    <row r="78" spans="1:14" x14ac:dyDescent="0.35">
      <c r="A78" s="1">
        <v>82</v>
      </c>
      <c r="B78" t="s">
        <v>115</v>
      </c>
      <c r="C78" t="s">
        <v>22</v>
      </c>
      <c r="D78" s="1" t="s">
        <v>42</v>
      </c>
      <c r="E78" s="1"/>
      <c r="F78" s="3"/>
      <c r="G78" s="2" t="s">
        <v>119</v>
      </c>
      <c r="H78" s="1">
        <v>7500</v>
      </c>
      <c r="I78" s="5" t="s">
        <v>11</v>
      </c>
      <c r="J78" s="2" t="str">
        <f>IF(E78="One-time","",IF(G78="", "",IF(E78="Monthly", EDATE(G78,1), IF(E78="Prepaid", IF(F78="", "", EDATE(G78, F78)), ""))))</f>
        <v/>
      </c>
      <c r="K78" s="1" t="s">
        <v>27</v>
      </c>
      <c r="L78" t="s">
        <v>149</v>
      </c>
      <c r="M78" t="s">
        <v>51</v>
      </c>
      <c r="N78" t="s">
        <v>107</v>
      </c>
    </row>
    <row r="79" spans="1:14" x14ac:dyDescent="0.35">
      <c r="A79" s="1">
        <v>83</v>
      </c>
      <c r="B79" t="s">
        <v>61</v>
      </c>
      <c r="C79" t="s">
        <v>22</v>
      </c>
      <c r="D79" s="1" t="s">
        <v>42</v>
      </c>
      <c r="E79" s="1" t="s">
        <v>33</v>
      </c>
      <c r="F79" s="3" t="s">
        <v>33</v>
      </c>
      <c r="G79" s="2" t="s">
        <v>119</v>
      </c>
      <c r="H79" s="1">
        <v>26000</v>
      </c>
      <c r="I79" s="5" t="s">
        <v>11</v>
      </c>
      <c r="J79" s="2"/>
      <c r="K79" s="1" t="s">
        <v>27</v>
      </c>
      <c r="L79" t="s">
        <v>150</v>
      </c>
      <c r="M79" t="s">
        <v>51</v>
      </c>
      <c r="N79" t="s">
        <v>107</v>
      </c>
    </row>
    <row r="80" spans="1:14" x14ac:dyDescent="0.35">
      <c r="A80" s="1">
        <v>84</v>
      </c>
      <c r="B80" t="s">
        <v>82</v>
      </c>
      <c r="C80" t="s">
        <v>22</v>
      </c>
      <c r="D80" s="1" t="s">
        <v>42</v>
      </c>
      <c r="E80" s="1" t="s">
        <v>33</v>
      </c>
      <c r="F80" s="3" t="s">
        <v>33</v>
      </c>
      <c r="G80" s="2" t="s">
        <v>119</v>
      </c>
      <c r="H80" s="1">
        <v>17500</v>
      </c>
      <c r="I80" s="5" t="s">
        <v>26</v>
      </c>
      <c r="K80" s="1" t="s">
        <v>27</v>
      </c>
      <c r="L80" t="s">
        <v>156</v>
      </c>
      <c r="M80" t="s">
        <v>51</v>
      </c>
      <c r="N80" t="s">
        <v>81</v>
      </c>
    </row>
    <row r="81" spans="1:14" x14ac:dyDescent="0.35">
      <c r="A81" s="1">
        <v>85</v>
      </c>
      <c r="B81" t="s">
        <v>46</v>
      </c>
      <c r="C81" t="s">
        <v>22</v>
      </c>
      <c r="D81" s="1" t="s">
        <v>42</v>
      </c>
      <c r="E81" s="1" t="s">
        <v>33</v>
      </c>
      <c r="F81" s="3" t="s">
        <v>33</v>
      </c>
      <c r="G81" s="2" t="s">
        <v>119</v>
      </c>
      <c r="H81" s="1">
        <v>6250</v>
      </c>
      <c r="I81" s="5" t="s">
        <v>11</v>
      </c>
      <c r="J81" s="2" t="str">
        <f t="shared" ref="J81:J84" si="11">IF(E81="One-time","",IF(G81="", "",IF(E81="Monthly", EDATE(G81,1), IF(E81="Prepaid", IF(F81="", "", EDATE(G81, F81)), ""))))</f>
        <v/>
      </c>
      <c r="K81" s="1" t="s">
        <v>27</v>
      </c>
      <c r="L81" t="s">
        <v>159</v>
      </c>
      <c r="M81" t="s">
        <v>51</v>
      </c>
      <c r="N81" t="s">
        <v>81</v>
      </c>
    </row>
    <row r="82" spans="1:14" x14ac:dyDescent="0.35">
      <c r="A82" s="1">
        <f t="shared" ref="A82:A126" si="12">A81+1</f>
        <v>86</v>
      </c>
      <c r="B82" t="s">
        <v>157</v>
      </c>
      <c r="C82" t="s">
        <v>22</v>
      </c>
      <c r="D82" s="1" t="s">
        <v>42</v>
      </c>
      <c r="E82" s="1" t="s">
        <v>33</v>
      </c>
      <c r="F82" s="3" t="s">
        <v>33</v>
      </c>
      <c r="G82" s="2" t="s">
        <v>119</v>
      </c>
      <c r="H82" s="1">
        <v>15000</v>
      </c>
      <c r="I82" s="5" t="s">
        <v>11</v>
      </c>
      <c r="J82" s="2" t="str">
        <f t="shared" si="11"/>
        <v/>
      </c>
      <c r="K82" s="1" t="s">
        <v>27</v>
      </c>
      <c r="L82" t="s">
        <v>160</v>
      </c>
      <c r="M82" t="s">
        <v>51</v>
      </c>
      <c r="N82" t="s">
        <v>81</v>
      </c>
    </row>
    <row r="83" spans="1:14" x14ac:dyDescent="0.35">
      <c r="A83" s="1">
        <f t="shared" si="12"/>
        <v>87</v>
      </c>
      <c r="B83" t="s">
        <v>158</v>
      </c>
      <c r="C83" t="s">
        <v>22</v>
      </c>
      <c r="D83" s="1" t="s">
        <v>42</v>
      </c>
      <c r="E83" s="1" t="s">
        <v>33</v>
      </c>
      <c r="F83" s="3" t="s">
        <v>33</v>
      </c>
      <c r="G83" s="2" t="s">
        <v>119</v>
      </c>
      <c r="H83" s="1">
        <v>18000</v>
      </c>
      <c r="I83" s="5" t="s">
        <v>11</v>
      </c>
      <c r="J83" s="2" t="str">
        <f t="shared" si="11"/>
        <v/>
      </c>
      <c r="K83" s="1" t="s">
        <v>27</v>
      </c>
      <c r="L83" t="s">
        <v>161</v>
      </c>
      <c r="M83" t="s">
        <v>93</v>
      </c>
      <c r="N83" t="s">
        <v>81</v>
      </c>
    </row>
    <row r="84" spans="1:14" x14ac:dyDescent="0.35">
      <c r="A84" s="1">
        <f t="shared" si="12"/>
        <v>88</v>
      </c>
      <c r="B84" t="s">
        <v>108</v>
      </c>
      <c r="C84" t="s">
        <v>22</v>
      </c>
      <c r="D84" s="1" t="s">
        <v>42</v>
      </c>
      <c r="E84" s="1" t="s">
        <v>33</v>
      </c>
      <c r="F84" s="3" t="s">
        <v>33</v>
      </c>
      <c r="G84" s="2" t="s">
        <v>119</v>
      </c>
      <c r="H84" s="1">
        <v>33000</v>
      </c>
      <c r="I84" s="5" t="s">
        <v>11</v>
      </c>
      <c r="J84" s="2" t="str">
        <f t="shared" si="11"/>
        <v/>
      </c>
      <c r="K84" s="1" t="s">
        <v>27</v>
      </c>
      <c r="L84" t="s">
        <v>162</v>
      </c>
      <c r="M84" t="s">
        <v>51</v>
      </c>
      <c r="N84" t="s">
        <v>81</v>
      </c>
    </row>
    <row r="85" spans="1:14" x14ac:dyDescent="0.35">
      <c r="A85" s="1">
        <f t="shared" si="12"/>
        <v>89</v>
      </c>
      <c r="B85" t="s">
        <v>61</v>
      </c>
      <c r="C85" t="s">
        <v>22</v>
      </c>
      <c r="D85" s="1" t="s">
        <v>42</v>
      </c>
      <c r="E85" s="1" t="s">
        <v>33</v>
      </c>
      <c r="F85" s="3" t="s">
        <v>33</v>
      </c>
      <c r="G85" s="2" t="s">
        <v>119</v>
      </c>
      <c r="H85" s="1">
        <v>23000</v>
      </c>
      <c r="I85" s="5" t="s">
        <v>11</v>
      </c>
      <c r="J85" s="2" t="str">
        <f t="shared" ref="J85" si="13">IF(E85="One-time","",IF(G85="", "",IF(E85="Monthly", EDATE(G85,1), IF(E85="Prepaid", IF(F85="", "", EDATE(G85, F85)), ""))))</f>
        <v/>
      </c>
      <c r="K85" s="1" t="s">
        <v>27</v>
      </c>
      <c r="L85" t="s">
        <v>163</v>
      </c>
      <c r="M85" t="s">
        <v>51</v>
      </c>
      <c r="N85" t="s">
        <v>81</v>
      </c>
    </row>
    <row r="86" spans="1:14" x14ac:dyDescent="0.35">
      <c r="A86" s="1">
        <f t="shared" si="12"/>
        <v>90</v>
      </c>
      <c r="B86" t="s">
        <v>91</v>
      </c>
      <c r="C86" t="s">
        <v>22</v>
      </c>
      <c r="D86" s="1" t="s">
        <v>42</v>
      </c>
      <c r="E86" s="1" t="s">
        <v>33</v>
      </c>
      <c r="F86" s="3" t="s">
        <v>33</v>
      </c>
      <c r="G86" s="2" t="s">
        <v>119</v>
      </c>
      <c r="H86" s="1">
        <v>18000</v>
      </c>
      <c r="I86" s="5" t="s">
        <v>11</v>
      </c>
      <c r="J86" s="2" t="str">
        <f t="shared" ref="J86" si="14">IF(E86="One-time","",IF(G86="", "",IF(E86="Monthly", EDATE(G86,1), IF(E86="Prepaid", IF(F86="", "", EDATE(G86, F86)), ""))))</f>
        <v/>
      </c>
      <c r="K86" s="1" t="s">
        <v>27</v>
      </c>
      <c r="L86" t="s">
        <v>164</v>
      </c>
      <c r="M86" t="s">
        <v>51</v>
      </c>
      <c r="N86" t="s">
        <v>81</v>
      </c>
    </row>
    <row r="87" spans="1:14" x14ac:dyDescent="0.35">
      <c r="A87" s="1">
        <f t="shared" si="12"/>
        <v>91</v>
      </c>
      <c r="B87" t="s">
        <v>25</v>
      </c>
      <c r="C87" t="s">
        <v>22</v>
      </c>
      <c r="D87" s="1" t="s">
        <v>42</v>
      </c>
      <c r="E87" s="1" t="s">
        <v>33</v>
      </c>
      <c r="F87" s="3" t="s">
        <v>33</v>
      </c>
      <c r="G87" s="2" t="s">
        <v>119</v>
      </c>
      <c r="H87" s="1">
        <v>11250</v>
      </c>
      <c r="I87" s="5" t="s">
        <v>11</v>
      </c>
      <c r="J87" s="2" t="str">
        <f t="shared" ref="J87" si="15">IF(E87="One-time","",IF(G87="", "",IF(E87="Monthly", EDATE(G87,1), IF(E87="Prepaid", IF(F87="", "", EDATE(G87, F87)), ""))))</f>
        <v/>
      </c>
      <c r="K87" s="1" t="s">
        <v>27</v>
      </c>
      <c r="L87" t="s">
        <v>165</v>
      </c>
      <c r="M87" t="s">
        <v>51</v>
      </c>
      <c r="N87" t="s">
        <v>81</v>
      </c>
    </row>
    <row r="88" spans="1:14" x14ac:dyDescent="0.35">
      <c r="A88" s="1">
        <v>92</v>
      </c>
      <c r="B88" t="s">
        <v>131</v>
      </c>
      <c r="C88" t="s">
        <v>22</v>
      </c>
      <c r="D88" s="1" t="s">
        <v>42</v>
      </c>
      <c r="E88" s="1" t="s">
        <v>33</v>
      </c>
      <c r="F88" s="3" t="s">
        <v>33</v>
      </c>
      <c r="G88" s="2" t="s">
        <v>119</v>
      </c>
      <c r="H88" s="1">
        <v>7500</v>
      </c>
      <c r="I88" s="5" t="s">
        <v>11</v>
      </c>
      <c r="J88" s="2" t="str">
        <f t="shared" ref="J88" si="16">IF(E88="One-time","",IF(G88="", "",IF(E88="Monthly", EDATE(G88,1), IF(E88="Prepaid", IF(F88="", "", EDATE(G88, F88)), ""))))</f>
        <v/>
      </c>
      <c r="K88" s="1" t="s">
        <v>27</v>
      </c>
      <c r="L88" t="s">
        <v>167</v>
      </c>
      <c r="M88" t="s">
        <v>51</v>
      </c>
      <c r="N88" t="s">
        <v>81</v>
      </c>
    </row>
    <row r="89" spans="1:14" x14ac:dyDescent="0.35">
      <c r="A89" s="1">
        <f>A88+1</f>
        <v>93</v>
      </c>
      <c r="B89" t="s">
        <v>166</v>
      </c>
      <c r="C89" t="s">
        <v>22</v>
      </c>
      <c r="D89" s="1" t="s">
        <v>42</v>
      </c>
      <c r="E89" s="1" t="s">
        <v>33</v>
      </c>
      <c r="F89" s="3" t="s">
        <v>33</v>
      </c>
      <c r="G89" s="2" t="s">
        <v>119</v>
      </c>
      <c r="H89" s="1">
        <v>18500</v>
      </c>
      <c r="I89" s="5" t="s">
        <v>11</v>
      </c>
      <c r="J89" s="2" t="str">
        <f t="shared" ref="J89:J90" si="17">IF(E89="One-time","",IF(G89="", "",IF(E89="Monthly", EDATE(G89,1), IF(E89="Prepaid", IF(F89="", "", EDATE(G89, F89)), ""))))</f>
        <v/>
      </c>
      <c r="K89" s="1" t="s">
        <v>27</v>
      </c>
      <c r="L89" t="s">
        <v>168</v>
      </c>
      <c r="M89" t="s">
        <v>51</v>
      </c>
      <c r="N89" t="s">
        <v>81</v>
      </c>
    </row>
    <row r="90" spans="1:14" x14ac:dyDescent="0.35">
      <c r="A90" s="1">
        <v>94</v>
      </c>
      <c r="B90" t="s">
        <v>173</v>
      </c>
      <c r="C90" t="s">
        <v>22</v>
      </c>
      <c r="D90" s="1" t="s">
        <v>42</v>
      </c>
      <c r="E90" s="1" t="s">
        <v>33</v>
      </c>
      <c r="F90" s="3" t="s">
        <v>33</v>
      </c>
      <c r="G90" s="2" t="s">
        <v>119</v>
      </c>
      <c r="H90" s="1">
        <v>33750</v>
      </c>
      <c r="I90" s="5" t="s">
        <v>11</v>
      </c>
      <c r="J90" s="2" t="str">
        <f t="shared" si="17"/>
        <v/>
      </c>
      <c r="K90" s="1" t="s">
        <v>27</v>
      </c>
      <c r="L90" t="s">
        <v>171</v>
      </c>
      <c r="M90" t="s">
        <v>51</v>
      </c>
      <c r="N90" t="s">
        <v>81</v>
      </c>
    </row>
    <row r="91" spans="1:14" x14ac:dyDescent="0.35">
      <c r="A91" s="1">
        <v>95</v>
      </c>
      <c r="B91" t="s">
        <v>169</v>
      </c>
      <c r="C91" t="s">
        <v>22</v>
      </c>
      <c r="D91" s="1" t="s">
        <v>42</v>
      </c>
      <c r="E91" s="1" t="s">
        <v>33</v>
      </c>
      <c r="F91" s="3" t="s">
        <v>33</v>
      </c>
      <c r="G91" s="2" t="s">
        <v>119</v>
      </c>
      <c r="H91" s="1">
        <v>25000</v>
      </c>
      <c r="I91" s="5" t="s">
        <v>11</v>
      </c>
      <c r="J91" s="2" t="str">
        <f t="shared" ref="J91" si="18">IF(E91="One-time","",IF(G91="", "",IF(E91="Monthly", EDATE(G91,1), IF(E91="Prepaid", IF(F91="", "", EDATE(G91, F91)), ""))))</f>
        <v/>
      </c>
      <c r="K91" s="1" t="s">
        <v>27</v>
      </c>
      <c r="L91" t="s">
        <v>172</v>
      </c>
      <c r="M91" t="s">
        <v>51</v>
      </c>
      <c r="N91" t="s">
        <v>81</v>
      </c>
    </row>
    <row r="92" spans="1:14" x14ac:dyDescent="0.35">
      <c r="A92" s="1">
        <f>A91+1</f>
        <v>96</v>
      </c>
      <c r="B92" t="s">
        <v>170</v>
      </c>
      <c r="C92" t="s">
        <v>22</v>
      </c>
      <c r="D92" s="1" t="s">
        <v>42</v>
      </c>
      <c r="E92" s="1" t="s">
        <v>33</v>
      </c>
      <c r="F92" s="3" t="s">
        <v>33</v>
      </c>
      <c r="G92" s="2" t="s">
        <v>119</v>
      </c>
      <c r="H92" s="1">
        <v>24000</v>
      </c>
      <c r="I92" s="5" t="s">
        <v>26</v>
      </c>
      <c r="J92" s="2" t="str">
        <f t="shared" ref="J92" si="19">IF(E92="One-time","",IF(G92="", "",IF(E92="Monthly", EDATE(G92,1), IF(E92="Prepaid", IF(F92="", "", EDATE(G92, F92)), ""))))</f>
        <v/>
      </c>
      <c r="K92" s="1" t="s">
        <v>27</v>
      </c>
      <c r="L92" t="s">
        <v>174</v>
      </c>
      <c r="M92" t="s">
        <v>51</v>
      </c>
      <c r="N92" t="s">
        <v>81</v>
      </c>
    </row>
    <row r="93" spans="1:14" x14ac:dyDescent="0.35">
      <c r="A93" s="1">
        <v>97</v>
      </c>
      <c r="B93" t="s">
        <v>121</v>
      </c>
      <c r="C93" t="s">
        <v>9</v>
      </c>
      <c r="D93" s="1" t="s">
        <v>15</v>
      </c>
      <c r="E93" s="1" t="s">
        <v>15</v>
      </c>
      <c r="F93" s="3">
        <v>1</v>
      </c>
      <c r="G93" s="2" t="s">
        <v>124</v>
      </c>
      <c r="H93" s="1">
        <v>7500</v>
      </c>
      <c r="I93" s="5" t="s">
        <v>11</v>
      </c>
      <c r="J93" s="2"/>
      <c r="K93" s="1" t="s">
        <v>27</v>
      </c>
      <c r="L93" t="s">
        <v>176</v>
      </c>
      <c r="M93" t="s">
        <v>51</v>
      </c>
      <c r="N93" t="s">
        <v>107</v>
      </c>
    </row>
    <row r="94" spans="1:14" x14ac:dyDescent="0.35">
      <c r="A94" s="1">
        <v>98</v>
      </c>
      <c r="B94" t="s">
        <v>177</v>
      </c>
      <c r="C94" t="s">
        <v>22</v>
      </c>
      <c r="D94" s="1" t="s">
        <v>42</v>
      </c>
      <c r="E94" s="1" t="s">
        <v>33</v>
      </c>
      <c r="F94" s="3" t="s">
        <v>33</v>
      </c>
      <c r="G94" s="2" t="s">
        <v>124</v>
      </c>
      <c r="H94" s="1">
        <v>32250</v>
      </c>
      <c r="I94" s="5" t="s">
        <v>11</v>
      </c>
      <c r="K94" s="1" t="s">
        <v>27</v>
      </c>
      <c r="L94" t="s">
        <v>178</v>
      </c>
      <c r="M94" t="s">
        <v>51</v>
      </c>
      <c r="N94" t="s">
        <v>81</v>
      </c>
    </row>
    <row r="95" spans="1:14" x14ac:dyDescent="0.35">
      <c r="A95" s="1">
        <f>A94+1</f>
        <v>99</v>
      </c>
      <c r="B95" t="s">
        <v>158</v>
      </c>
      <c r="C95" t="s">
        <v>22</v>
      </c>
      <c r="D95" s="1" t="s">
        <v>42</v>
      </c>
      <c r="E95" s="1" t="s">
        <v>33</v>
      </c>
      <c r="F95" s="3" t="s">
        <v>33</v>
      </c>
      <c r="G95" s="2" t="s">
        <v>124</v>
      </c>
      <c r="H95" s="1">
        <v>13500</v>
      </c>
      <c r="I95" s="5" t="s">
        <v>11</v>
      </c>
      <c r="K95" s="1" t="s">
        <v>27</v>
      </c>
      <c r="L95" t="s">
        <v>180</v>
      </c>
      <c r="M95" t="s">
        <v>51</v>
      </c>
      <c r="N95" t="s">
        <v>81</v>
      </c>
    </row>
    <row r="96" spans="1:14" x14ac:dyDescent="0.35">
      <c r="A96" s="1">
        <f>A95+1</f>
        <v>100</v>
      </c>
      <c r="B96" t="s">
        <v>179</v>
      </c>
      <c r="C96" t="s">
        <v>22</v>
      </c>
      <c r="D96" s="1" t="s">
        <v>42</v>
      </c>
      <c r="E96" s="1" t="s">
        <v>33</v>
      </c>
      <c r="F96" s="3" t="s">
        <v>33</v>
      </c>
      <c r="G96" s="2" t="s">
        <v>124</v>
      </c>
      <c r="H96" s="1">
        <v>26500</v>
      </c>
      <c r="I96" s="5" t="s">
        <v>26</v>
      </c>
      <c r="K96" s="1" t="s">
        <v>27</v>
      </c>
      <c r="L96" t="s">
        <v>181</v>
      </c>
      <c r="M96" t="s">
        <v>51</v>
      </c>
      <c r="N96" t="s">
        <v>81</v>
      </c>
    </row>
    <row r="97" spans="1:14" x14ac:dyDescent="0.35">
      <c r="A97" s="1">
        <v>100</v>
      </c>
      <c r="B97" t="s">
        <v>108</v>
      </c>
      <c r="C97" t="s">
        <v>22</v>
      </c>
      <c r="D97" s="1" t="s">
        <v>42</v>
      </c>
      <c r="E97" s="1" t="s">
        <v>33</v>
      </c>
      <c r="F97" s="3" t="s">
        <v>33</v>
      </c>
      <c r="G97" s="2" t="s">
        <v>124</v>
      </c>
      <c r="H97" s="1">
        <v>15000</v>
      </c>
      <c r="I97" s="5" t="s">
        <v>11</v>
      </c>
      <c r="K97" s="1" t="s">
        <v>27</v>
      </c>
      <c r="L97" t="s">
        <v>182</v>
      </c>
      <c r="M97" t="s">
        <v>51</v>
      </c>
      <c r="N97" t="s">
        <v>81</v>
      </c>
    </row>
    <row r="98" spans="1:14" x14ac:dyDescent="0.35">
      <c r="A98" s="1">
        <f t="shared" si="12"/>
        <v>101</v>
      </c>
      <c r="B98" t="s">
        <v>183</v>
      </c>
      <c r="C98" t="s">
        <v>22</v>
      </c>
      <c r="D98" s="1" t="s">
        <v>42</v>
      </c>
      <c r="E98" s="1" t="s">
        <v>33</v>
      </c>
      <c r="F98" s="3" t="s">
        <v>33</v>
      </c>
      <c r="G98" s="2" t="s">
        <v>124</v>
      </c>
      <c r="H98" s="1">
        <v>12500</v>
      </c>
      <c r="I98" s="5" t="s">
        <v>11</v>
      </c>
      <c r="K98" s="1" t="s">
        <v>27</v>
      </c>
      <c r="L98" t="s">
        <v>185</v>
      </c>
      <c r="M98" t="s">
        <v>51</v>
      </c>
      <c r="N98" t="s">
        <v>81</v>
      </c>
    </row>
    <row r="99" spans="1:14" x14ac:dyDescent="0.35">
      <c r="A99" s="1">
        <f t="shared" si="12"/>
        <v>102</v>
      </c>
      <c r="B99" t="s">
        <v>184</v>
      </c>
      <c r="C99" t="s">
        <v>22</v>
      </c>
      <c r="D99" s="1" t="s">
        <v>42</v>
      </c>
      <c r="E99" s="1" t="s">
        <v>33</v>
      </c>
      <c r="F99" s="3" t="s">
        <v>33</v>
      </c>
      <c r="G99" s="2" t="s">
        <v>124</v>
      </c>
      <c r="H99" s="1">
        <v>20000</v>
      </c>
      <c r="I99" s="5" t="s">
        <v>11</v>
      </c>
      <c r="K99" s="1" t="s">
        <v>27</v>
      </c>
      <c r="L99" t="s">
        <v>186</v>
      </c>
      <c r="M99" t="s">
        <v>51</v>
      </c>
      <c r="N99" t="s">
        <v>81</v>
      </c>
    </row>
    <row r="100" spans="1:14" x14ac:dyDescent="0.35">
      <c r="A100" s="1">
        <f t="shared" si="12"/>
        <v>103</v>
      </c>
      <c r="B100" t="s">
        <v>187</v>
      </c>
      <c r="C100" t="s">
        <v>22</v>
      </c>
      <c r="D100" s="1" t="s">
        <v>42</v>
      </c>
      <c r="E100" s="1" t="s">
        <v>33</v>
      </c>
      <c r="F100" s="3" t="s">
        <v>33</v>
      </c>
      <c r="G100" s="2" t="s">
        <v>124</v>
      </c>
      <c r="H100" s="1">
        <v>17500</v>
      </c>
      <c r="I100" s="5" t="s">
        <v>26</v>
      </c>
      <c r="K100" s="1" t="s">
        <v>27</v>
      </c>
      <c r="L100" t="s">
        <v>189</v>
      </c>
      <c r="M100" t="s">
        <v>51</v>
      </c>
      <c r="N100" t="s">
        <v>81</v>
      </c>
    </row>
    <row r="101" spans="1:14" x14ac:dyDescent="0.35">
      <c r="A101" s="1">
        <f t="shared" si="12"/>
        <v>104</v>
      </c>
      <c r="B101" t="s">
        <v>61</v>
      </c>
      <c r="C101" t="s">
        <v>22</v>
      </c>
      <c r="D101" s="1" t="s">
        <v>42</v>
      </c>
      <c r="E101" s="1" t="s">
        <v>33</v>
      </c>
      <c r="F101" s="3" t="s">
        <v>33</v>
      </c>
      <c r="G101" s="2" t="s">
        <v>124</v>
      </c>
      <c r="H101" s="1">
        <v>20000</v>
      </c>
      <c r="I101" s="5" t="s">
        <v>11</v>
      </c>
      <c r="K101" s="1" t="s">
        <v>27</v>
      </c>
      <c r="L101" t="s">
        <v>190</v>
      </c>
      <c r="M101" t="s">
        <v>93</v>
      </c>
      <c r="N101" t="s">
        <v>81</v>
      </c>
    </row>
    <row r="102" spans="1:14" x14ac:dyDescent="0.35">
      <c r="A102" s="1">
        <f t="shared" si="12"/>
        <v>105</v>
      </c>
      <c r="B102" t="s">
        <v>112</v>
      </c>
      <c r="C102" t="s">
        <v>22</v>
      </c>
      <c r="D102" s="1" t="s">
        <v>42</v>
      </c>
      <c r="E102" s="1" t="s">
        <v>33</v>
      </c>
      <c r="F102" s="3" t="s">
        <v>33</v>
      </c>
      <c r="G102" s="2" t="s">
        <v>124</v>
      </c>
      <c r="H102" s="1">
        <v>41000</v>
      </c>
      <c r="I102" s="5" t="s">
        <v>11</v>
      </c>
      <c r="K102" s="1" t="s">
        <v>27</v>
      </c>
      <c r="L102" t="s">
        <v>191</v>
      </c>
      <c r="M102" t="s">
        <v>51</v>
      </c>
      <c r="N102" t="s">
        <v>81</v>
      </c>
    </row>
    <row r="103" spans="1:14" x14ac:dyDescent="0.35">
      <c r="A103" s="1">
        <f t="shared" si="12"/>
        <v>106</v>
      </c>
      <c r="B103" t="s">
        <v>173</v>
      </c>
      <c r="C103" t="s">
        <v>22</v>
      </c>
      <c r="D103" s="1" t="s">
        <v>42</v>
      </c>
      <c r="E103" s="1" t="s">
        <v>33</v>
      </c>
      <c r="F103" s="3" t="s">
        <v>33</v>
      </c>
      <c r="G103" s="2" t="s">
        <v>124</v>
      </c>
      <c r="H103" s="1">
        <v>13125</v>
      </c>
      <c r="I103" s="5" t="s">
        <v>11</v>
      </c>
      <c r="K103" s="1" t="s">
        <v>27</v>
      </c>
      <c r="L103" t="s">
        <v>192</v>
      </c>
      <c r="M103" t="s">
        <v>93</v>
      </c>
      <c r="N103" t="s">
        <v>81</v>
      </c>
    </row>
    <row r="104" spans="1:14" x14ac:dyDescent="0.35">
      <c r="A104" s="1">
        <f>A103+1</f>
        <v>107</v>
      </c>
      <c r="B104" t="s">
        <v>140</v>
      </c>
      <c r="C104" t="s">
        <v>22</v>
      </c>
      <c r="D104" s="1" t="s">
        <v>42</v>
      </c>
      <c r="E104" s="1" t="s">
        <v>33</v>
      </c>
      <c r="F104" s="3" t="s">
        <v>33</v>
      </c>
      <c r="G104" s="2" t="s">
        <v>124</v>
      </c>
      <c r="H104" s="1">
        <v>54000</v>
      </c>
      <c r="I104" s="5" t="s">
        <v>11</v>
      </c>
      <c r="K104" s="1" t="s">
        <v>27</v>
      </c>
      <c r="L104" t="s">
        <v>193</v>
      </c>
      <c r="M104" t="s">
        <v>51</v>
      </c>
      <c r="N104" t="s">
        <v>81</v>
      </c>
    </row>
    <row r="105" spans="1:14" x14ac:dyDescent="0.35">
      <c r="A105" s="1">
        <f t="shared" si="12"/>
        <v>108</v>
      </c>
      <c r="B105" t="s">
        <v>141</v>
      </c>
      <c r="C105" t="s">
        <v>22</v>
      </c>
      <c r="D105" s="1" t="s">
        <v>42</v>
      </c>
      <c r="E105" s="1" t="s">
        <v>33</v>
      </c>
      <c r="F105" s="3" t="s">
        <v>33</v>
      </c>
      <c r="G105" s="2" t="s">
        <v>124</v>
      </c>
      <c r="H105" s="1">
        <v>12000</v>
      </c>
      <c r="I105" s="5" t="s">
        <v>11</v>
      </c>
      <c r="K105" s="1" t="s">
        <v>27</v>
      </c>
      <c r="L105" t="s">
        <v>194</v>
      </c>
      <c r="M105" t="s">
        <v>51</v>
      </c>
      <c r="N105" t="s">
        <v>81</v>
      </c>
    </row>
    <row r="106" spans="1:14" x14ac:dyDescent="0.35">
      <c r="A106" s="1">
        <f t="shared" si="12"/>
        <v>109</v>
      </c>
      <c r="B106" t="s">
        <v>170</v>
      </c>
      <c r="C106" t="s">
        <v>22</v>
      </c>
      <c r="D106" s="1" t="s">
        <v>42</v>
      </c>
      <c r="E106" s="1" t="s">
        <v>33</v>
      </c>
      <c r="F106" s="3" t="s">
        <v>33</v>
      </c>
      <c r="G106" s="2" t="s">
        <v>124</v>
      </c>
      <c r="H106" s="1">
        <v>16000</v>
      </c>
      <c r="I106" s="5" t="s">
        <v>26</v>
      </c>
      <c r="K106" s="1" t="s">
        <v>27</v>
      </c>
      <c r="L106" t="s">
        <v>195</v>
      </c>
      <c r="M106" t="s">
        <v>51</v>
      </c>
      <c r="N106" t="s">
        <v>81</v>
      </c>
    </row>
    <row r="107" spans="1:14" x14ac:dyDescent="0.35">
      <c r="A107" s="1">
        <f t="shared" si="12"/>
        <v>110</v>
      </c>
      <c r="B107" t="s">
        <v>188</v>
      </c>
      <c r="C107" t="s">
        <v>22</v>
      </c>
      <c r="D107" s="1" t="s">
        <v>42</v>
      </c>
      <c r="E107" s="1" t="s">
        <v>33</v>
      </c>
      <c r="F107" s="3" t="s">
        <v>33</v>
      </c>
      <c r="G107" s="2" t="s">
        <v>124</v>
      </c>
      <c r="H107" s="1">
        <v>9375</v>
      </c>
      <c r="I107" s="5" t="s">
        <v>11</v>
      </c>
      <c r="K107" s="1" t="s">
        <v>27</v>
      </c>
      <c r="L107" t="s">
        <v>196</v>
      </c>
      <c r="M107" t="s">
        <v>51</v>
      </c>
      <c r="N107" t="s">
        <v>81</v>
      </c>
    </row>
    <row r="108" spans="1:14" x14ac:dyDescent="0.35">
      <c r="A108" s="1">
        <f t="shared" si="12"/>
        <v>111</v>
      </c>
      <c r="B108" t="s">
        <v>151</v>
      </c>
      <c r="C108" t="s">
        <v>22</v>
      </c>
      <c r="D108" s="1" t="s">
        <v>42</v>
      </c>
      <c r="E108" s="1" t="s">
        <v>33</v>
      </c>
      <c r="F108" s="3" t="s">
        <v>33</v>
      </c>
      <c r="G108" s="2" t="s">
        <v>124</v>
      </c>
      <c r="H108" s="1">
        <v>10000</v>
      </c>
      <c r="I108" s="5" t="s">
        <v>11</v>
      </c>
      <c r="K108" s="1" t="s">
        <v>27</v>
      </c>
      <c r="L108" t="s">
        <v>198</v>
      </c>
      <c r="M108" t="s">
        <v>51</v>
      </c>
      <c r="N108" t="s">
        <v>107</v>
      </c>
    </row>
    <row r="109" spans="1:14" x14ac:dyDescent="0.35">
      <c r="A109" s="1">
        <f t="shared" si="12"/>
        <v>112</v>
      </c>
      <c r="B109" t="s">
        <v>197</v>
      </c>
      <c r="C109" t="s">
        <v>22</v>
      </c>
      <c r="D109" s="1" t="s">
        <v>42</v>
      </c>
      <c r="E109" s="1" t="s">
        <v>33</v>
      </c>
      <c r="F109" s="3" t="s">
        <v>33</v>
      </c>
      <c r="G109" s="2" t="s">
        <v>200</v>
      </c>
      <c r="H109" s="1">
        <v>2500</v>
      </c>
      <c r="I109" s="5" t="s">
        <v>11</v>
      </c>
      <c r="K109" s="1" t="s">
        <v>27</v>
      </c>
      <c r="L109" t="s">
        <v>199</v>
      </c>
      <c r="M109" t="s">
        <v>51</v>
      </c>
      <c r="N109" t="s">
        <v>107</v>
      </c>
    </row>
    <row r="110" spans="1:14" x14ac:dyDescent="0.35">
      <c r="A110" s="1">
        <v>113</v>
      </c>
      <c r="B110" t="s">
        <v>177</v>
      </c>
      <c r="C110" t="s">
        <v>9</v>
      </c>
      <c r="D110" s="1" t="s">
        <v>15</v>
      </c>
      <c r="E110" s="1" t="s">
        <v>15</v>
      </c>
      <c r="F110" s="3" t="s">
        <v>33</v>
      </c>
      <c r="G110" s="2" t="s">
        <v>200</v>
      </c>
      <c r="H110" s="1">
        <v>7500</v>
      </c>
      <c r="I110" s="5" t="s">
        <v>11</v>
      </c>
      <c r="J110" s="2"/>
      <c r="K110" s="1" t="s">
        <v>27</v>
      </c>
      <c r="L110" t="s">
        <v>205</v>
      </c>
      <c r="M110" t="s">
        <v>51</v>
      </c>
      <c r="N110" t="s">
        <v>107</v>
      </c>
    </row>
    <row r="111" spans="1:14" x14ac:dyDescent="0.35">
      <c r="A111" s="1">
        <v>114</v>
      </c>
      <c r="B111" t="s">
        <v>121</v>
      </c>
      <c r="C111" t="s">
        <v>9</v>
      </c>
      <c r="D111" s="1" t="s">
        <v>15</v>
      </c>
      <c r="E111" s="1" t="s">
        <v>15</v>
      </c>
      <c r="F111" s="3" t="s">
        <v>33</v>
      </c>
      <c r="G111" s="2" t="s">
        <v>200</v>
      </c>
      <c r="H111" s="1">
        <v>7500</v>
      </c>
      <c r="I111" s="5" t="s">
        <v>11</v>
      </c>
      <c r="J111" s="2"/>
      <c r="K111" s="1" t="s">
        <v>27</v>
      </c>
      <c r="L111" t="s">
        <v>206</v>
      </c>
      <c r="M111" t="s">
        <v>51</v>
      </c>
      <c r="N111" t="s">
        <v>107</v>
      </c>
    </row>
    <row r="112" spans="1:14" x14ac:dyDescent="0.35">
      <c r="A112" s="1">
        <v>115</v>
      </c>
      <c r="B112" t="s">
        <v>13</v>
      </c>
      <c r="C112" t="s">
        <v>9</v>
      </c>
      <c r="D112" s="1" t="str">
        <f t="shared" ref="D112" si="20">IF(C112="Consultation","One-time","Monthly")</f>
        <v>Monthly</v>
      </c>
      <c r="E112" s="1" t="s">
        <v>10</v>
      </c>
      <c r="F112" s="3">
        <v>3</v>
      </c>
      <c r="G112" s="2" t="s">
        <v>200</v>
      </c>
      <c r="H112" s="1">
        <v>22500</v>
      </c>
      <c r="I112" t="s">
        <v>11</v>
      </c>
      <c r="J112" s="2" t="s">
        <v>201</v>
      </c>
      <c r="K112" s="1" t="s">
        <v>12</v>
      </c>
      <c r="L112" t="s">
        <v>207</v>
      </c>
      <c r="M112" t="s">
        <v>51</v>
      </c>
      <c r="N112" t="s">
        <v>107</v>
      </c>
    </row>
    <row r="113" spans="1:15" x14ac:dyDescent="0.35">
      <c r="A113" s="1">
        <v>116</v>
      </c>
      <c r="B113" t="s">
        <v>20</v>
      </c>
      <c r="C113" t="s">
        <v>9</v>
      </c>
      <c r="D113" s="1" t="s">
        <v>15</v>
      </c>
      <c r="E113" s="1" t="s">
        <v>15</v>
      </c>
      <c r="F113" s="3">
        <v>2</v>
      </c>
      <c r="G113" s="2" t="s">
        <v>200</v>
      </c>
      <c r="H113" s="1">
        <v>40000</v>
      </c>
      <c r="I113" s="5" t="s">
        <v>11</v>
      </c>
      <c r="J113" s="2"/>
      <c r="K113" s="1" t="s">
        <v>27</v>
      </c>
      <c r="L113" t="s">
        <v>208</v>
      </c>
      <c r="M113" t="s">
        <v>93</v>
      </c>
      <c r="N113" t="s">
        <v>107</v>
      </c>
      <c r="O113" t="s">
        <v>204</v>
      </c>
    </row>
    <row r="114" spans="1:15" x14ac:dyDescent="0.35">
      <c r="A114" s="1">
        <v>117</v>
      </c>
      <c r="B114" t="s">
        <v>203</v>
      </c>
      <c r="C114" t="s">
        <v>9</v>
      </c>
      <c r="D114" s="1" t="s">
        <v>15</v>
      </c>
      <c r="E114" s="1" t="s">
        <v>15</v>
      </c>
      <c r="F114" s="3">
        <v>5</v>
      </c>
      <c r="G114" s="2" t="s">
        <v>200</v>
      </c>
      <c r="H114" s="1">
        <v>50000</v>
      </c>
      <c r="I114" s="5" t="s">
        <v>11</v>
      </c>
      <c r="J114" s="2"/>
      <c r="K114" s="1" t="s">
        <v>27</v>
      </c>
      <c r="L114" t="s">
        <v>209</v>
      </c>
      <c r="M114" t="s">
        <v>93</v>
      </c>
      <c r="N114" t="s">
        <v>107</v>
      </c>
      <c r="O114" t="s">
        <v>210</v>
      </c>
    </row>
    <row r="115" spans="1:15" x14ac:dyDescent="0.35">
      <c r="A115" s="1">
        <v>118</v>
      </c>
      <c r="B115" t="s">
        <v>184</v>
      </c>
      <c r="C115" t="s">
        <v>22</v>
      </c>
      <c r="D115" s="1" t="s">
        <v>42</v>
      </c>
      <c r="E115" s="1" t="s">
        <v>33</v>
      </c>
      <c r="F115" s="3" t="s">
        <v>33</v>
      </c>
      <c r="G115" s="2" t="s">
        <v>200</v>
      </c>
      <c r="H115" s="1">
        <v>12000</v>
      </c>
      <c r="I115" s="5" t="s">
        <v>11</v>
      </c>
      <c r="J115" s="2"/>
      <c r="K115" s="1" t="s">
        <v>27</v>
      </c>
      <c r="L115" t="s">
        <v>211</v>
      </c>
      <c r="M115" t="s">
        <v>51</v>
      </c>
      <c r="N115" t="s">
        <v>81</v>
      </c>
    </row>
    <row r="116" spans="1:15" x14ac:dyDescent="0.35">
      <c r="A116" s="1">
        <v>119</v>
      </c>
      <c r="B116" t="s">
        <v>187</v>
      </c>
      <c r="C116" t="s">
        <v>22</v>
      </c>
      <c r="D116" s="1" t="s">
        <v>42</v>
      </c>
      <c r="E116" s="1" t="s">
        <v>33</v>
      </c>
      <c r="F116" s="3" t="s">
        <v>33</v>
      </c>
      <c r="G116" s="2" t="s">
        <v>200</v>
      </c>
      <c r="H116" s="1">
        <v>17500</v>
      </c>
      <c r="I116" s="5" t="s">
        <v>26</v>
      </c>
      <c r="J116" s="2"/>
      <c r="K116" s="1" t="s">
        <v>27</v>
      </c>
      <c r="L116" t="s">
        <v>212</v>
      </c>
      <c r="M116" t="s">
        <v>93</v>
      </c>
      <c r="N116" t="s">
        <v>81</v>
      </c>
    </row>
    <row r="117" spans="1:15" x14ac:dyDescent="0.35">
      <c r="A117" s="1">
        <v>120</v>
      </c>
    </row>
    <row r="118" spans="1:15" x14ac:dyDescent="0.35">
      <c r="A118" s="1">
        <v>121</v>
      </c>
    </row>
    <row r="119" spans="1:15" x14ac:dyDescent="0.35">
      <c r="A119" s="1">
        <v>122</v>
      </c>
    </row>
    <row r="120" spans="1:15" x14ac:dyDescent="0.35">
      <c r="A120" s="1">
        <v>123</v>
      </c>
    </row>
    <row r="121" spans="1:15" x14ac:dyDescent="0.35">
      <c r="A121" s="1">
        <f t="shared" si="12"/>
        <v>124</v>
      </c>
    </row>
    <row r="122" spans="1:15" x14ac:dyDescent="0.35">
      <c r="A122" s="1">
        <f t="shared" si="12"/>
        <v>125</v>
      </c>
    </row>
    <row r="123" spans="1:15" x14ac:dyDescent="0.35">
      <c r="A123" s="1">
        <f t="shared" si="12"/>
        <v>126</v>
      </c>
    </row>
    <row r="124" spans="1:15" x14ac:dyDescent="0.35">
      <c r="A124" s="1">
        <f t="shared" si="12"/>
        <v>127</v>
      </c>
    </row>
    <row r="125" spans="1:15" x14ac:dyDescent="0.35">
      <c r="A125" s="1">
        <f t="shared" si="12"/>
        <v>128</v>
      </c>
    </row>
    <row r="126" spans="1:15" x14ac:dyDescent="0.35">
      <c r="A126" s="1">
        <f t="shared" si="12"/>
        <v>129</v>
      </c>
    </row>
    <row r="138" spans="2:14" x14ac:dyDescent="0.35">
      <c r="B138" t="s">
        <v>117</v>
      </c>
      <c r="C138" t="s">
        <v>9</v>
      </c>
      <c r="D138" s="1" t="s">
        <v>15</v>
      </c>
      <c r="E138" s="1" t="s">
        <v>15</v>
      </c>
      <c r="F138" s="3"/>
      <c r="G138" s="2"/>
      <c r="H138" s="1"/>
      <c r="J138" s="2"/>
      <c r="K138" s="1"/>
      <c r="N138" t="s">
        <v>107</v>
      </c>
    </row>
    <row r="139" spans="2:14" x14ac:dyDescent="0.35">
      <c r="B139" t="s">
        <v>154</v>
      </c>
      <c r="C139" t="s">
        <v>22</v>
      </c>
      <c r="D139" s="1" t="s">
        <v>42</v>
      </c>
      <c r="E139" s="1" t="s">
        <v>33</v>
      </c>
      <c r="F139" s="3" t="s">
        <v>33</v>
      </c>
      <c r="G139" s="2" t="s">
        <v>200</v>
      </c>
      <c r="H139" s="1">
        <v>7500</v>
      </c>
      <c r="I139" s="5" t="s">
        <v>11</v>
      </c>
      <c r="J139" s="2"/>
      <c r="K139" s="1" t="s">
        <v>27</v>
      </c>
      <c r="L139" t="s">
        <v>202</v>
      </c>
      <c r="N139" t="s">
        <v>107</v>
      </c>
    </row>
    <row r="140" spans="2:14" x14ac:dyDescent="0.35">
      <c r="B140" t="s">
        <v>175</v>
      </c>
      <c r="C140" t="s">
        <v>22</v>
      </c>
      <c r="D140" s="1" t="s">
        <v>42</v>
      </c>
      <c r="E140" s="1" t="s">
        <v>33</v>
      </c>
      <c r="F140" s="3" t="s">
        <v>33</v>
      </c>
      <c r="G140" s="2" t="s">
        <v>200</v>
      </c>
      <c r="I140" s="5" t="s">
        <v>11</v>
      </c>
      <c r="K140" s="1" t="s">
        <v>27</v>
      </c>
    </row>
    <row r="141" spans="2:14" x14ac:dyDescent="0.35">
      <c r="B141" t="s">
        <v>128</v>
      </c>
      <c r="C141" t="s">
        <v>22</v>
      </c>
      <c r="D141" s="1" t="s">
        <v>42</v>
      </c>
      <c r="E141" s="1" t="s">
        <v>33</v>
      </c>
      <c r="F141" s="3" t="s">
        <v>33</v>
      </c>
      <c r="G141" s="2" t="s">
        <v>200</v>
      </c>
      <c r="I141" s="5" t="s">
        <v>11</v>
      </c>
      <c r="J141" s="2"/>
      <c r="K141" s="1" t="s">
        <v>27</v>
      </c>
    </row>
    <row r="142" spans="2:14" x14ac:dyDescent="0.35">
      <c r="J142" s="2"/>
      <c r="K142" s="1"/>
    </row>
    <row r="143" spans="2:14" x14ac:dyDescent="0.35">
      <c r="D143" s="1"/>
      <c r="E143" s="1"/>
      <c r="F143" s="3"/>
      <c r="I143" s="5"/>
      <c r="J143" s="2"/>
      <c r="K143" s="1"/>
    </row>
    <row r="144" spans="2:14" x14ac:dyDescent="0.35">
      <c r="B144" t="s">
        <v>152</v>
      </c>
      <c r="C144" t="s">
        <v>22</v>
      </c>
      <c r="D144" s="1" t="s">
        <v>42</v>
      </c>
      <c r="E144" s="1" t="s">
        <v>33</v>
      </c>
      <c r="F144" s="3" t="s">
        <v>33</v>
      </c>
      <c r="I144" s="5" t="s">
        <v>11</v>
      </c>
      <c r="J144" s="2"/>
      <c r="K144" s="1"/>
    </row>
    <row r="145" spans="2:11" x14ac:dyDescent="0.35">
      <c r="B145" t="s">
        <v>153</v>
      </c>
      <c r="C145" t="s">
        <v>22</v>
      </c>
      <c r="D145" s="1" t="s">
        <v>42</v>
      </c>
      <c r="E145" s="1" t="s">
        <v>33</v>
      </c>
      <c r="F145" s="3" t="s">
        <v>33</v>
      </c>
      <c r="I145" s="5" t="s">
        <v>11</v>
      </c>
      <c r="J145" s="2"/>
      <c r="K145" s="1"/>
    </row>
    <row r="146" spans="2:11" x14ac:dyDescent="0.35">
      <c r="J146" s="2"/>
      <c r="K146" s="1"/>
    </row>
    <row r="147" spans="2:11" x14ac:dyDescent="0.35">
      <c r="B147" t="s">
        <v>155</v>
      </c>
      <c r="C147" t="s">
        <v>22</v>
      </c>
      <c r="D147" s="1" t="s">
        <v>42</v>
      </c>
      <c r="E147" s="1" t="s">
        <v>33</v>
      </c>
      <c r="F147" s="3" t="s">
        <v>33</v>
      </c>
      <c r="I147" s="5" t="s">
        <v>11</v>
      </c>
      <c r="J147" s="2"/>
      <c r="K147" s="1"/>
    </row>
    <row r="148" spans="2:11" x14ac:dyDescent="0.35">
      <c r="B148" t="s">
        <v>170</v>
      </c>
      <c r="C148" t="s">
        <v>22</v>
      </c>
      <c r="D148" s="1" t="s">
        <v>42</v>
      </c>
      <c r="E148" s="1" t="s">
        <v>33</v>
      </c>
      <c r="F148" s="3" t="s">
        <v>33</v>
      </c>
      <c r="I148" s="5" t="s">
        <v>11</v>
      </c>
    </row>
  </sheetData>
  <autoFilter ref="A1:K126" xr:uid="{00000000-0009-0000-0000-000000000000}"/>
  <dataValidations count="5">
    <dataValidation type="list" allowBlank="1" showInputMessage="1" showErrorMessage="1" sqref="I2:I10 I81:I93 I12:I79 I138 I112:I116" xr:uid="{00000000-0002-0000-0000-000002000000}">
      <formula1>"Bank,Cash"</formula1>
    </dataValidation>
    <dataValidation type="list" allowBlank="1" showInputMessage="1" showErrorMessage="1" sqref="D2:D22 D24:D79 D138 D112:D116" xr:uid="{4900A36F-D4C0-4BB8-9158-AAEE9938BEBC}">
      <formula1>"One-time,Monthly"</formula1>
    </dataValidation>
    <dataValidation type="list" allowBlank="1" showInputMessage="1" showErrorMessage="1" sqref="C81:C88 C2:C79 C138 C112:C116" xr:uid="{00000000-0002-0000-0000-000000000000}">
      <formula1>"Consultation,Program"</formula1>
    </dataValidation>
    <dataValidation type="list" allowBlank="1" showInputMessage="1" showErrorMessage="1" sqref="K2:K79 K141:K147 K138:K139 K110:K116" xr:uid="{00000000-0002-0000-0000-000003000000}">
      <formula1>"Active,Paused,Cancelled,Completed"</formula1>
    </dataValidation>
    <dataValidation type="list" allowBlank="1" showInputMessage="1" showErrorMessage="1" sqref="E2:E79 E138 E112:E116" xr:uid="{BA3E417F-E9AE-4A36-B7BB-5DD680FA21FE}">
      <formula1>"N.A.,Monthly,Prepaid"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Deo</cp:lastModifiedBy>
  <dcterms:created xsi:type="dcterms:W3CDTF">2025-10-16T09:15:54Z</dcterms:created>
  <dcterms:modified xsi:type="dcterms:W3CDTF">2026-10-31T08:03:38Z</dcterms:modified>
</cp:coreProperties>
</file>