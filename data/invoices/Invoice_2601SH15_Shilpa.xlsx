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-MMM-YYYY"/>
  </numFmts>
  <fonts count="22">
    <font>
      <name val="Aptos Narrow"/>
      <family val="2"/>
      <color theme="1"/>
      <sz val="11"/>
      <scheme val="minor"/>
    </font>
    <font>
      <name val="Aptos Narrow"/>
      <family val="2"/>
      <b val="1"/>
      <color theme="3" tint="0.499984740745262"/>
      <sz val="20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i val="1"/>
      <color theme="1"/>
      <sz val="12"/>
      <scheme val="minor"/>
    </font>
    <font>
      <name val="Aptos Narrow"/>
      <family val="2"/>
      <b val="1"/>
      <color theme="1"/>
      <sz val="14"/>
      <u val="single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3" tint="0.499984740745262"/>
      <sz val="14"/>
      <scheme val="minor"/>
    </font>
    <font>
      <name val="Aptos Narrow"/>
      <family val="2"/>
      <color theme="3" tint="0.499984740745262"/>
      <sz val="14"/>
      <scheme val="minor"/>
    </font>
    <font>
      <name val="Aptos Narrow"/>
      <family val="2"/>
      <color theme="3" tint="0.499984740745262"/>
      <sz val="11"/>
      <scheme val="minor"/>
    </font>
    <font>
      <name val="Aptos Narrow"/>
      <family val="2"/>
      <b val="1"/>
      <i val="1"/>
      <color theme="1"/>
      <sz val="14"/>
      <scheme val="minor"/>
    </font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theme="5" tint="-0.249977111117893"/>
      <sz val="12"/>
      <scheme val="minor"/>
    </font>
    <font>
      <name val="Aptos Narrow"/>
      <family val="2"/>
      <i val="1"/>
      <color theme="5"/>
      <sz val="12"/>
      <scheme val="minor"/>
    </font>
    <font>
      <name val="Aptos Narrow"/>
      <family val="2"/>
      <b val="1"/>
      <i val="1"/>
      <color theme="5"/>
      <sz val="14"/>
      <scheme val="minor"/>
    </font>
    <font>
      <name val="Aptos Narrow"/>
      <family val="2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i val="1"/>
      <color theme="5" tint="-0.249977111117893"/>
      <sz val="14"/>
      <scheme val="minor"/>
    </font>
    <font>
      <name val="Aptos Narrow"/>
      <family val="2"/>
      <b val="1"/>
      <color theme="1"/>
      <sz val="16"/>
      <scheme val="minor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3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3">
    <xf numFmtId="0" fontId="13" fillId="0" borderId="0"/>
    <xf numFmtId="0" fontId="8" fillId="0" borderId="0"/>
    <xf numFmtId="43" fontId="13" fillId="0" borderId="0"/>
  </cellStyleXfs>
  <cellXfs count="87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4" fontId="6" fillId="0" borderId="2" applyAlignment="1" pivotButton="0" quotePrefix="0" xfId="2">
      <alignment wrapText="1"/>
    </xf>
    <xf numFmtId="0" fontId="15" fillId="0" borderId="2" pivotButton="0" quotePrefix="0" xfId="0"/>
    <xf numFmtId="0" fontId="6" fillId="0" borderId="2" pivotButton="0" quotePrefix="0" xfId="0"/>
    <xf numFmtId="0" fontId="17" fillId="0" borderId="8" applyAlignment="1" pivotButton="0" quotePrefix="0" xfId="0">
      <alignment wrapText="1"/>
    </xf>
    <xf numFmtId="0" fontId="17" fillId="0" borderId="9" applyAlignment="1" pivotButton="0" quotePrefix="0" xfId="0">
      <alignment wrapText="1"/>
    </xf>
    <xf numFmtId="164" fontId="5" fillId="0" borderId="11" applyAlignment="1" pivotButton="0" quotePrefix="0" xfId="2">
      <alignment horizontal="center"/>
    </xf>
    <xf numFmtId="3" fontId="19" fillId="0" borderId="11" applyAlignment="1" pivotButton="0" quotePrefix="0" xfId="0">
      <alignment horizontal="right"/>
    </xf>
    <xf numFmtId="0" fontId="20" fillId="0" borderId="14" pivotButton="0" quotePrefix="0" xfId="0"/>
    <xf numFmtId="0" fontId="12" fillId="0" borderId="14" pivotButton="0" quotePrefix="0" xfId="0"/>
    <xf numFmtId="3" fontId="12" fillId="0" borderId="15" applyAlignment="1" pivotButton="0" quotePrefix="0" xfId="0">
      <alignment horizontal="right"/>
    </xf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15" fillId="0" borderId="19" pivotButton="0" quotePrefix="0" xfId="0"/>
    <xf numFmtId="0" fontId="6" fillId="0" borderId="19" pivotButton="0" quotePrefix="0" xfId="0"/>
    <xf numFmtId="9" fontId="2" fillId="0" borderId="20" applyAlignment="1" pivotButton="0" quotePrefix="0" xfId="0">
      <alignment horizontal="right"/>
    </xf>
    <xf numFmtId="0" fontId="14" fillId="0" borderId="0" pivotButton="0" quotePrefix="0" xfId="0"/>
    <xf numFmtId="0" fontId="16" fillId="0" borderId="0" pivotButton="0" quotePrefix="0" xfId="0"/>
    <xf numFmtId="0" fontId="4" fillId="2" borderId="27" pivotButton="0" quotePrefix="0" xfId="0"/>
    <xf numFmtId="0" fontId="1" fillId="2" borderId="27" applyAlignment="1" pivotButton="0" quotePrefix="0" xfId="0">
      <alignment horizontal="right"/>
    </xf>
    <xf numFmtId="0" fontId="18" fillId="0" borderId="10" applyAlignment="1" pivotButton="0" quotePrefix="0" xfId="0">
      <alignment horizontal="left"/>
    </xf>
    <xf numFmtId="0" fontId="18" fillId="0" borderId="4" applyAlignment="1" pivotButton="0" quotePrefix="0" xfId="0">
      <alignment horizontal="left"/>
    </xf>
    <xf numFmtId="0" fontId="18" fillId="0" borderId="3" applyAlignment="1" pivotButton="0" quotePrefix="0" xfId="0">
      <alignment horizontal="left"/>
    </xf>
    <xf numFmtId="0" fontId="18" fillId="0" borderId="16" applyAlignment="1" pivotButton="0" quotePrefix="0" xfId="0">
      <alignment horizontal="left"/>
    </xf>
    <xf numFmtId="0" fontId="18" fillId="0" borderId="17" applyAlignment="1" pivotButton="0" quotePrefix="0" xfId="0">
      <alignment horizontal="left"/>
    </xf>
    <xf numFmtId="0" fontId="18" fillId="0" borderId="18" applyAlignment="1" pivotButton="0" quotePrefix="0" xfId="0">
      <alignment horizontal="left"/>
    </xf>
    <xf numFmtId="0" fontId="12" fillId="0" borderId="0" pivotButton="0" quotePrefix="0" xfId="0"/>
    <xf numFmtId="0" fontId="10" fillId="0" borderId="0" pivotButton="0" quotePrefix="0" xfId="0"/>
    <xf numFmtId="0" fontId="10" fillId="0" borderId="0" pivotButton="0" quotePrefix="1" xfId="0"/>
    <xf numFmtId="0" fontId="8" fillId="0" borderId="0" pivotButton="0" quotePrefix="0" xfId="1"/>
    <xf numFmtId="0" fontId="0" fillId="0" borderId="0" pivotButton="0" quotePrefix="0" xfId="0"/>
    <xf numFmtId="0" fontId="15" fillId="0" borderId="21" pivotButton="0" quotePrefix="0" xfId="0"/>
    <xf numFmtId="0" fontId="15" fillId="0" borderId="19" pivotButton="0" quotePrefix="0" xfId="0"/>
    <xf numFmtId="0" fontId="20" fillId="0" borderId="13" pivotButton="0" quotePrefix="0" xfId="0"/>
    <xf numFmtId="0" fontId="20" fillId="0" borderId="14" pivotButton="0" quotePrefix="0" xfId="0"/>
    <xf numFmtId="0" fontId="15" fillId="0" borderId="12" pivotButton="0" quotePrefix="0" xfId="0"/>
    <xf numFmtId="0" fontId="15" fillId="0" borderId="2" pivotButton="0" quotePrefix="0" xfId="0"/>
    <xf numFmtId="0" fontId="2" fillId="0" borderId="21" pivotButton="0" quotePrefix="0" xfId="0"/>
    <xf numFmtId="0" fontId="2" fillId="0" borderId="19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" pivotButton="0" quotePrefix="1" xfId="0"/>
    <xf numFmtId="0" fontId="2" fillId="0" borderId="1" pivotButton="0" quotePrefix="0" xfId="0"/>
    <xf numFmtId="0" fontId="2" fillId="0" borderId="24" pivotButton="0" quotePrefix="0" xfId="0"/>
    <xf numFmtId="0" fontId="8" fillId="0" borderId="25" pivotButton="0" quotePrefix="0" xfId="1"/>
    <xf numFmtId="0" fontId="2" fillId="0" borderId="25" pivotButton="0" quotePrefix="0" xfId="0"/>
    <xf numFmtId="0" fontId="2" fillId="0" borderId="26" pivotButton="0" quotePrefix="0" xfId="0"/>
    <xf numFmtId="0" fontId="17" fillId="0" borderId="5" pivotButton="0" quotePrefix="0" xfId="0"/>
    <xf numFmtId="0" fontId="17" fillId="0" borderId="6" pivotButton="0" quotePrefix="0" xfId="0"/>
    <xf numFmtId="0" fontId="17" fillId="0" borderId="7" pivotButton="0" quotePrefix="0" xfId="0"/>
    <xf numFmtId="0" fontId="21" fillId="2" borderId="27" pivotButton="0" quotePrefix="0" xfId="0"/>
    <xf numFmtId="0" fontId="1" fillId="2" borderId="25" applyAlignment="1" pivotButton="0" quotePrefix="0" xfId="0">
      <alignment horizontal="right"/>
    </xf>
    <xf numFmtId="0" fontId="4" fillId="2" borderId="25" pivotButton="0" quotePrefix="0" xfId="0"/>
    <xf numFmtId="0" fontId="9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15" fontId="3" fillId="0" borderId="0" applyAlignment="1" pivotButton="0" quotePrefix="0" xfId="0">
      <alignment horizontal="left"/>
    </xf>
    <xf numFmtId="0" fontId="5" fillId="0" borderId="0" pivotButton="0" quotePrefix="0" xfId="0"/>
    <xf numFmtId="0" fontId="2" fillId="0" borderId="22" pivotButton="0" quotePrefix="0" xfId="0"/>
    <xf numFmtId="0" fontId="2" fillId="0" borderId="23" pivotButton="0" quotePrefix="0" xfId="0"/>
    <xf numFmtId="0" fontId="0" fillId="0" borderId="25" pivotButton="0" quotePrefix="0" xfId="0"/>
    <xf numFmtId="0" fontId="0" fillId="0" borderId="27" pivotButton="0" quotePrefix="0" xfId="0"/>
    <xf numFmtId="165" fontId="3" fillId="0" borderId="0" applyAlignment="1" pivotButton="0" quotePrefix="0" xfId="0">
      <alignment horizontal="left"/>
    </xf>
    <xf numFmtId="0" fontId="0" fillId="0" borderId="7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8" pivotButton="0" quotePrefix="0" xfId="0"/>
    <xf numFmtId="0" fontId="8" fillId="0" borderId="26" pivotButton="0" quotePrefix="0" xfId="1"/>
    <xf numFmtId="0" fontId="0" fillId="0" borderId="26" pivotButton="0" quotePrefix="0" xfId="0"/>
    <xf numFmtId="0" fontId="17" fillId="0" borderId="22" pivotButton="0" quotePrefix="0" xfId="0"/>
    <xf numFmtId="0" fontId="18" fillId="0" borderId="23" applyAlignment="1" pivotButton="0" quotePrefix="0" xfId="0">
      <alignment horizontal="left"/>
    </xf>
    <xf numFmtId="164" fontId="6" fillId="0" borderId="2" applyAlignment="1" pivotButton="0" quotePrefix="0" xfId="2">
      <alignment wrapText="1"/>
    </xf>
    <xf numFmtId="164" fontId="5" fillId="0" borderId="11" applyAlignment="1" pivotButton="0" quotePrefix="0" xfId="2">
      <alignment horizontal="center"/>
    </xf>
    <xf numFmtId="0" fontId="18" fillId="0" borderId="21" applyAlignment="1" pivotButton="0" quotePrefix="0" xfId="0">
      <alignment horizontal="left"/>
    </xf>
    <xf numFmtId="0" fontId="0" fillId="0" borderId="17" pivotButton="0" quotePrefix="0" xfId="0"/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0" fillId="0" borderId="35" pivotButton="0" quotePrefix="0" xfId="0"/>
    <xf numFmtId="0" fontId="0" fillId="0" borderId="36" pivotButton="0" quotePrefix="0" xfId="0"/>
    <xf numFmtId="0" fontId="0" fillId="0" borderId="34" pivotButton="0" quotePrefix="0" xfId="0"/>
  </cellXfs>
  <cellStyles count="3">
    <cellStyle name="Normal" xfId="0" builtinId="0"/>
    <cellStyle name="Hyperlink" xfId="1" builtinId="8"/>
    <cellStyle name="Comma" xfId="2" builtinId="3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650034</colOff>
      <row>28</row>
      <rowOff>163138</rowOff>
    </from>
    <to>
      <col>5</col>
      <colOff>199300</colOff>
      <row>36</row>
      <rowOff>98353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860269" y="6247932"/>
          <a:ext cx="1547088" cy="142559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ello29565.ibz@icici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tabSelected="1" zoomScale="85" zoomScaleNormal="85" workbookViewId="0">
      <selection activeCell="A17" sqref="A17:E17"/>
    </sheetView>
  </sheetViews>
  <sheetFormatPr baseColWidth="8" defaultRowHeight="14.5"/>
  <cols>
    <col width="8.7265625" customWidth="1" style="36" min="1" max="2"/>
    <col width="9.7265625" customWidth="1" style="36" min="3" max="4"/>
    <col width="9.26953125" bestFit="1" customWidth="1" style="36" min="5" max="5"/>
    <col width="20.1796875" customWidth="1" style="36" min="6" max="6"/>
    <col width="15.6328125" customWidth="1" style="36" min="7" max="7"/>
    <col width="19.1796875" customWidth="1" style="36" min="8" max="8"/>
  </cols>
  <sheetData>
    <row r="1" ht="26" customHeight="1" s="36">
      <c r="A1" s="58" t="inlineStr">
        <is>
          <t>CELL-OPTIMAL LYFE MEDICAL SOLUTIONS PVT. LTD.</t>
        </is>
      </c>
      <c r="B1" s="66" t="n"/>
      <c r="C1" s="66" t="n"/>
      <c r="D1" s="66" t="n"/>
      <c r="E1" s="66" t="n"/>
      <c r="F1" s="66" t="n"/>
      <c r="G1" s="66" t="n"/>
      <c r="H1" s="66" t="n"/>
      <c r="I1" s="57" t="inlineStr">
        <is>
          <t>Invoice</t>
        </is>
      </c>
      <c r="J1" s="66" t="n"/>
    </row>
    <row r="2" ht="26" customHeight="1" s="36">
      <c r="A2" s="56" t="inlineStr">
        <is>
          <t>CIN: U86900KA2024PTC184794</t>
        </is>
      </c>
      <c r="B2" s="67" t="n"/>
      <c r="C2" s="67" t="n"/>
      <c r="D2" s="67" t="n"/>
      <c r="E2" s="67" t="n"/>
      <c r="F2" s="67" t="n"/>
      <c r="G2" s="24" t="n"/>
      <c r="H2" s="24" t="n"/>
      <c r="I2" s="25" t="n"/>
      <c r="J2" s="25" t="n"/>
    </row>
    <row r="3" ht="18.5" customHeight="1" s="36">
      <c r="A3" s="59" t="inlineStr">
        <is>
          <t>A10 Sterling Villa Grande</t>
        </is>
      </c>
      <c r="F3" s="59" t="n"/>
      <c r="G3" s="60" t="inlineStr">
        <is>
          <t xml:space="preserve">Invoice #: </t>
        </is>
      </c>
      <c r="I3" s="61" t="inlineStr">
        <is>
          <t>2601SH15</t>
        </is>
      </c>
    </row>
    <row r="4" ht="18.5" customHeight="1" s="36">
      <c r="A4" s="59" t="inlineStr">
        <is>
          <t>Seegehalli, Whitefield Hoskote Rd</t>
        </is>
      </c>
      <c r="F4" s="59" t="n"/>
      <c r="G4" s="60" t="inlineStr">
        <is>
          <t xml:space="preserve">Invoice date: </t>
        </is>
      </c>
      <c r="I4" s="68" t="inlineStr">
        <is>
          <t>31-Jan-2026</t>
        </is>
      </c>
    </row>
    <row r="5" ht="18.5" customHeight="1" s="36">
      <c r="A5" s="59" t="inlineStr">
        <is>
          <t>Whitefield, Bengaluru 560067</t>
        </is>
      </c>
      <c r="F5" s="59" t="n"/>
    </row>
    <row r="6" ht="18.5" customHeight="1" s="36">
      <c r="A6" s="59" t="inlineStr">
        <is>
          <t>Phone: +91 974 242 9565</t>
        </is>
      </c>
      <c r="F6" s="59" t="n"/>
    </row>
    <row r="7" ht="18.5" customHeight="1" s="36">
      <c r="A7" s="59" t="inlineStr">
        <is>
          <t>Email: dr.sameerdeo@gmail.com</t>
        </is>
      </c>
      <c r="F7" s="59" t="n"/>
    </row>
    <row r="9" ht="18.5" customHeight="1" s="36">
      <c r="A9" s="63" t="inlineStr">
        <is>
          <t>Billing Details</t>
        </is>
      </c>
    </row>
    <row r="10" ht="16" customHeight="1" s="36">
      <c r="A10" s="64" t="inlineStr">
        <is>
          <t>Client Name</t>
        </is>
      </c>
      <c r="B10" s="69" t="n"/>
      <c r="C10" s="45" t="inlineStr">
        <is>
          <t>Shilpa</t>
        </is>
      </c>
      <c r="D10" s="70" t="n"/>
      <c r="E10" s="69" t="n"/>
      <c r="F10" s="6" t="n"/>
    </row>
    <row r="11" ht="16" customHeight="1" s="36">
      <c r="A11" s="65" t="inlineStr">
        <is>
          <t>Phone number</t>
        </is>
      </c>
      <c r="B11" s="71" t="n"/>
      <c r="C11" s="47" t="n"/>
      <c r="D11" s="72" t="n"/>
      <c r="E11" s="71" t="n"/>
      <c r="F11" s="6" t="n"/>
    </row>
    <row r="12" ht="16" customHeight="1" s="36">
      <c r="A12" s="43" t="inlineStr">
        <is>
          <t>Email ID</t>
        </is>
      </c>
      <c r="B12" s="73" t="n"/>
      <c r="C12" s="74" t="n"/>
      <c r="D12" s="66" t="n"/>
      <c r="E12" s="75" t="n"/>
      <c r="F12" s="6" t="n"/>
    </row>
    <row r="14" ht="18.5" customHeight="1" s="36">
      <c r="A14" s="76" t="inlineStr">
        <is>
          <t>Description</t>
        </is>
      </c>
      <c r="B14" s="70" t="n"/>
      <c r="C14" s="70" t="n"/>
      <c r="D14" s="70" t="n"/>
      <c r="E14" s="69" t="n"/>
      <c r="F14" s="10" t="inlineStr">
        <is>
          <t xml:space="preserve">Amount / unit (₹) </t>
        </is>
      </c>
      <c r="G14" s="10" t="inlineStr">
        <is>
          <t>Unit quantity</t>
        </is>
      </c>
      <c r="H14" s="11" t="inlineStr">
        <is>
          <t xml:space="preserve">Total amount (₹) </t>
        </is>
      </c>
    </row>
    <row r="15" ht="18.5" customHeight="1" s="36">
      <c r="A15" s="77" t="n"/>
      <c r="B15" s="72" t="n"/>
      <c r="C15" s="72" t="n"/>
      <c r="D15" s="72" t="n"/>
      <c r="E15" s="71" t="n"/>
      <c r="F15" s="78" t="n"/>
      <c r="G15" s="78" t="n"/>
      <c r="H15" s="79" t="n"/>
    </row>
    <row r="16" ht="18.5" customHeight="1" s="36">
      <c r="A16" s="77" t="inlineStr">
        <is>
          <t>Physical Medicine (30 min)</t>
        </is>
      </c>
      <c r="B16" s="72" t="n"/>
      <c r="C16" s="72" t="n"/>
      <c r="D16" s="72" t="n"/>
      <c r="E16" s="71" t="n"/>
      <c r="F16" s="78" t="n">
        <v>3000</v>
      </c>
      <c r="G16" s="78" t="n">
        <v>7</v>
      </c>
      <c r="H16" s="79">
        <f>F16*G16</f>
        <v/>
      </c>
    </row>
    <row r="17" ht="18.5" customHeight="1" s="36">
      <c r="A17" s="80" t="n"/>
      <c r="B17" s="81" t="n"/>
      <c r="C17" s="81" t="n"/>
      <c r="D17" s="81" t="n"/>
      <c r="E17" s="73" t="n"/>
      <c r="F17" s="82" t="n"/>
      <c r="G17" s="82" t="n"/>
      <c r="H17" s="83" t="n"/>
    </row>
    <row r="18" ht="16" customHeight="1" s="36">
      <c r="A18" s="41" t="inlineStr">
        <is>
          <t>Gross Consultation Charges</t>
        </is>
      </c>
      <c r="B18" s="84" t="n"/>
      <c r="C18" s="84" t="n"/>
      <c r="D18" s="84" t="n"/>
      <c r="E18" s="85" t="n"/>
      <c r="F18" s="42" t="n"/>
      <c r="G18" s="9" t="n"/>
      <c r="H18" s="13">
        <f>SUM(H15:H17)</f>
        <v/>
      </c>
    </row>
    <row r="19" ht="16" customHeight="1" s="36">
      <c r="A19" s="37" t="inlineStr">
        <is>
          <t xml:space="preserve">Friends and Family Discount % </t>
        </is>
      </c>
      <c r="B19" s="81" t="n"/>
      <c r="C19" s="81" t="n"/>
      <c r="D19" s="81" t="n"/>
      <c r="E19" s="73" t="n"/>
      <c r="F19" s="38" t="n"/>
      <c r="G19" s="20" t="n"/>
      <c r="H19" s="21" t="n">
        <v>0</v>
      </c>
    </row>
    <row r="20" ht="18.5" customHeight="1" s="36">
      <c r="A20" s="39" t="inlineStr">
        <is>
          <t>Net Consultation Charges</t>
        </is>
      </c>
      <c r="B20" s="66" t="n"/>
      <c r="C20" s="66" t="n"/>
      <c r="D20" s="66" t="n"/>
      <c r="E20" s="86" t="n"/>
      <c r="F20" s="40" t="n"/>
      <c r="G20" s="15" t="n"/>
      <c r="H20" s="16">
        <f>H18*(1-H19)</f>
        <v/>
      </c>
    </row>
    <row r="21" ht="16" customHeight="1" s="36">
      <c r="A21" s="1" t="inlineStr">
        <is>
          <t>Thank you for your continued trust and support!</t>
        </is>
      </c>
    </row>
    <row r="23" ht="18.5" customHeight="1" s="36">
      <c r="A23" s="2" t="inlineStr">
        <is>
          <t>Payment instructions</t>
        </is>
      </c>
    </row>
    <row r="24" ht="18.5" customHeight="1" s="36">
      <c r="A24" s="32" t="inlineStr">
        <is>
          <t>Account name</t>
        </is>
      </c>
      <c r="D24" s="33" t="inlineStr">
        <is>
          <t>Cell-Optimal Lyfe Medical Solutions Pvt. Ltd.</t>
        </is>
      </c>
    </row>
    <row r="25" ht="18.5" customHeight="1" s="36">
      <c r="A25" s="32" t="inlineStr">
        <is>
          <t>Account number</t>
        </is>
      </c>
      <c r="D25" s="34" t="inlineStr">
        <is>
          <t>317005001616</t>
        </is>
      </c>
    </row>
    <row r="26" ht="18.5" customHeight="1" s="36">
      <c r="A26" s="32" t="inlineStr">
        <is>
          <t>Type of Account</t>
        </is>
      </c>
      <c r="B26" s="32" t="n"/>
      <c r="C26" s="32" t="n"/>
      <c r="D26" s="33" t="inlineStr">
        <is>
          <t>Current</t>
        </is>
      </c>
      <c r="J26" s="3" t="n"/>
    </row>
    <row r="27" ht="18.5" customHeight="1" s="36">
      <c r="A27" s="32" t="inlineStr">
        <is>
          <t>IFSC</t>
        </is>
      </c>
      <c r="D27" s="33" t="inlineStr">
        <is>
          <t>ICIC0003170</t>
        </is>
      </c>
    </row>
    <row r="28" ht="18.5" customHeight="1" s="36">
      <c r="A28" s="32" t="inlineStr">
        <is>
          <t>UPI ID</t>
        </is>
      </c>
      <c r="D28" s="35" t="inlineStr">
        <is>
          <t>cello29565.ibz@icici</t>
        </is>
      </c>
    </row>
    <row r="30" ht="18.5" customHeight="1" s="36">
      <c r="A30" s="32" t="inlineStr">
        <is>
          <t>QR Code</t>
        </is>
      </c>
    </row>
    <row r="40" ht="16" customHeight="1" s="36">
      <c r="B40" s="6" t="n"/>
    </row>
    <row r="41" ht="18.5" customHeight="1" s="36">
      <c r="A41" s="32" t="inlineStr">
        <is>
          <t>Our services</t>
        </is>
      </c>
      <c r="D41" s="23" t="inlineStr">
        <is>
          <t>Rehabilitation Medicine</t>
        </is>
      </c>
    </row>
    <row r="42" ht="15.5" customHeight="1" s="36">
      <c r="A42" s="32" t="n"/>
      <c r="B42" s="32" t="n"/>
      <c r="C42" s="32" t="n"/>
      <c r="D42" s="23" t="n"/>
    </row>
    <row r="43" ht="16" customHeight="1" s="36">
      <c r="B43" s="1" t="n"/>
      <c r="C43" s="22" t="n"/>
      <c r="D43" s="23" t="inlineStr">
        <is>
          <t>Functional Medicine</t>
        </is>
      </c>
    </row>
    <row r="44" ht="16" customHeight="1" s="36">
      <c r="B44" s="1" t="n"/>
      <c r="C44" s="22" t="n"/>
      <c r="D44" s="23" t="n"/>
    </row>
    <row r="45" ht="16" customHeight="1" s="36">
      <c r="B45" s="1" t="n"/>
      <c r="C45" s="22" t="n"/>
      <c r="D45" s="23" t="inlineStr">
        <is>
          <t>Pain Management</t>
        </is>
      </c>
    </row>
    <row r="46" ht="16" customHeight="1" s="36">
      <c r="B46" s="1" t="n"/>
      <c r="C46" s="22" t="n"/>
      <c r="D46" s="23" t="n"/>
    </row>
    <row r="47" ht="16" customHeight="1" s="36">
      <c r="D47" s="23" t="inlineStr">
        <is>
          <t>Longevity Medicine</t>
        </is>
      </c>
    </row>
    <row r="48" ht="16" customHeight="1" s="36">
      <c r="D48" s="23" t="n"/>
    </row>
    <row r="49" ht="16" customHeight="1" s="36">
      <c r="D49" s="23" t="inlineStr">
        <is>
          <t>Sports Medicine</t>
        </is>
      </c>
    </row>
    <row r="50" ht="16" customHeight="1" s="36">
      <c r="D50" s="23" t="n"/>
    </row>
    <row r="51" ht="16" customHeight="1" s="36">
      <c r="D51" s="23" t="inlineStr">
        <is>
          <t>Sleep-Nutrition-Exercise Therapy</t>
        </is>
      </c>
    </row>
  </sheetData>
  <mergeCells count="37">
    <mergeCell ref="D28:J28"/>
    <mergeCell ref="A25:C25"/>
    <mergeCell ref="A41:C41"/>
    <mergeCell ref="A15:E15"/>
    <mergeCell ref="A11:B11"/>
    <mergeCell ref="D25:J25"/>
    <mergeCell ref="A27:C27"/>
    <mergeCell ref="D24:J24"/>
    <mergeCell ref="A1:H1"/>
    <mergeCell ref="A6:E6"/>
    <mergeCell ref="C12:E12"/>
    <mergeCell ref="A2:F2"/>
    <mergeCell ref="C11:E11"/>
    <mergeCell ref="A16:E16"/>
    <mergeCell ref="A7:E7"/>
    <mergeCell ref="A18:E18"/>
    <mergeCell ref="G3:H3"/>
    <mergeCell ref="A12:B12"/>
    <mergeCell ref="I3:J3"/>
    <mergeCell ref="A3:E3"/>
    <mergeCell ref="A28:C28"/>
    <mergeCell ref="A9:C9"/>
    <mergeCell ref="A5:E5"/>
    <mergeCell ref="A30:C30"/>
    <mergeCell ref="A14:E14"/>
    <mergeCell ref="D26:I26"/>
    <mergeCell ref="A17:E17"/>
    <mergeCell ref="D27:J27"/>
    <mergeCell ref="I1:J1"/>
    <mergeCell ref="A24:C24"/>
    <mergeCell ref="G4:H4"/>
    <mergeCell ref="A4:E4"/>
    <mergeCell ref="I4:J4"/>
    <mergeCell ref="A20:E20"/>
    <mergeCell ref="A10:B10"/>
    <mergeCell ref="A19:E19"/>
    <mergeCell ref="C10:E10"/>
  </mergeCells>
  <hyperlinks>
    <hyperlink xmlns:r="http://schemas.openxmlformats.org/officeDocument/2006/relationships" ref="D28" r:id="rId1"/>
  </hyperlinks>
  <pageMargins left="0.5905511811023623" right="0.5905511811023623" top="0.5905511811023623" bottom="0.5905511811023623" header="0.3149606299212598" footer="0.3149606299212598"/>
  <pageSetup orientation="portrait" paperSize="9" scale="76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Sanjay Seth</dc:creator>
  <dcterms:created xsi:type="dcterms:W3CDTF">2024-12-09T13:08:49Z</dcterms:created>
  <dcterms:modified xsi:type="dcterms:W3CDTF">2026-10-31T09:35:36Z</dcterms:modified>
  <cp:lastModifiedBy>Sameer Deo</cp:lastModifiedBy>
  <cp:lastPrinted>2026-05-31T14:33:59Z</cp:lastPrinted>
</cp:coreProperties>
</file>